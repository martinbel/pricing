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\Volumetric\FL\Quaker pricing 2020\Final Database\RTE\"/>
    </mc:Choice>
  </mc:AlternateContent>
  <xr:revisionPtr revIDLastSave="0" documentId="13_ncr:1_{2AA54DA8-9158-4DB7-AADC-0B3BAEE453E3}" xr6:coauthVersionLast="46" xr6:coauthVersionMax="46" xr10:uidLastSave="{00000000-0000-0000-0000-000000000000}"/>
  <bookViews>
    <workbookView xWindow="-120" yWindow="-120" windowWidth="19440" windowHeight="10440" xr2:uid="{00000000-000D-0000-FFFF-FFFF00000000}"/>
  </bookViews>
  <sheets>
    <sheet name="Grocery Prods" sheetId="4" r:id="rId1"/>
    <sheet name="WM Prods" sheetId="1" r:id="rId2"/>
    <sheet name="Fact" sheetId="3" r:id="rId3"/>
    <sheet name="Mkt" sheetId="2" r:id="rId4"/>
  </sheets>
  <definedNames>
    <definedName name="_xlnm._FilterDatabase" localSheetId="2" hidden="1">Fact!$A$1:$C$105</definedName>
    <definedName name="_xlnm._FilterDatabase" localSheetId="0" hidden="1">'Grocery Prods'!$A$6:$O$6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" i="3" l="1"/>
  <c r="A69" i="3" s="1"/>
  <c r="A70" i="3" s="1"/>
  <c r="A71" i="3" s="1"/>
  <c r="A72" i="3" s="1"/>
  <c r="A73" i="3" s="1"/>
  <c r="A74" i="3" s="1"/>
  <c r="A60" i="3"/>
  <c r="A61" i="3" s="1"/>
  <c r="A62" i="3" s="1"/>
  <c r="A63" i="3" s="1"/>
  <c r="A64" i="3" s="1"/>
  <c r="A65" i="3" s="1"/>
  <c r="A66" i="3" s="1"/>
  <c r="A52" i="3"/>
  <c r="A53" i="3" s="1"/>
  <c r="A54" i="3" s="1"/>
  <c r="A55" i="3" s="1"/>
  <c r="A56" i="3" s="1"/>
  <c r="A57" i="3" s="1"/>
  <c r="A58" i="3" s="1"/>
  <c r="A44" i="3"/>
  <c r="A45" i="3" s="1"/>
  <c r="A46" i="3" s="1"/>
  <c r="A47" i="3" s="1"/>
  <c r="A48" i="3" s="1"/>
  <c r="A49" i="3" s="1"/>
  <c r="A50" i="3" s="1"/>
  <c r="A36" i="3"/>
  <c r="A37" i="3" s="1"/>
  <c r="A38" i="3" s="1"/>
  <c r="A39" i="3" s="1"/>
  <c r="A40" i="3" s="1"/>
  <c r="A41" i="3" s="1"/>
  <c r="A42" i="3" s="1"/>
  <c r="A28" i="3"/>
  <c r="A29" i="3" s="1"/>
  <c r="A30" i="3" s="1"/>
  <c r="A31" i="3" s="1"/>
  <c r="A32" i="3" s="1"/>
  <c r="A33" i="3" s="1"/>
  <c r="A34" i="3" s="1"/>
  <c r="A20" i="3"/>
  <c r="A21" i="3" s="1"/>
  <c r="A22" i="3" s="1"/>
  <c r="A23" i="3" s="1"/>
  <c r="A24" i="3" s="1"/>
  <c r="A25" i="3" s="1"/>
  <c r="A26" i="3" s="1"/>
  <c r="A11" i="3"/>
  <c r="A12" i="3" s="1"/>
  <c r="A13" i="3" s="1"/>
  <c r="A14" i="3" s="1"/>
  <c r="A15" i="3" s="1"/>
  <c r="A16" i="3" s="1"/>
  <c r="A17" i="3" s="1"/>
  <c r="A3" i="3"/>
  <c r="A4" i="3" s="1"/>
  <c r="A5" i="3" s="1"/>
  <c r="A6" i="3" s="1"/>
  <c r="A7" i="3" s="1"/>
  <c r="A8" i="3" s="1"/>
  <c r="A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C63" authorId="0" shapeId="0" xr:uid="{8C942BDD-1C81-4B5B-AD1C-1ECBCC0F1906}">
      <text>
        <r>
          <rPr>
            <b/>
            <sz val="9"/>
            <color indexed="81"/>
            <rFont val="Tahoma"/>
            <family val="2"/>
          </rPr>
          <t>MALT O MEAL ES UNA LINE DE POST
VER FILE DE SELECCIÓN DE MARTIN</t>
        </r>
      </text>
    </comment>
  </commentList>
</comments>
</file>

<file path=xl/sharedStrings.xml><?xml version="1.0" encoding="utf-8"?>
<sst xmlns="http://schemas.openxmlformats.org/spreadsheetml/2006/main" count="758" uniqueCount="517">
  <si>
    <t>Product</t>
  </si>
  <si>
    <t>Code</t>
  </si>
  <si>
    <t>2018 FY</t>
  </si>
  <si>
    <t>2019 FY</t>
  </si>
  <si>
    <t xml:space="preserve"> </t>
  </si>
  <si>
    <t>ALB</t>
  </si>
  <si>
    <t>ATL</t>
  </si>
  <si>
    <t>BIR</t>
  </si>
  <si>
    <t>BOI</t>
  </si>
  <si>
    <t>BOS</t>
  </si>
  <si>
    <t>BUF</t>
  </si>
  <si>
    <t>BW</t>
  </si>
  <si>
    <t>CHA</t>
  </si>
  <si>
    <t>CHI</t>
  </si>
  <si>
    <t>CIN</t>
  </si>
  <si>
    <t>CLE</t>
  </si>
  <si>
    <t>COL</t>
  </si>
  <si>
    <t>DAL</t>
  </si>
  <si>
    <t>DEN</t>
  </si>
  <si>
    <t>DETR</t>
  </si>
  <si>
    <t>DMN</t>
  </si>
  <si>
    <t>GB</t>
  </si>
  <si>
    <t>GR</t>
  </si>
  <si>
    <t>HAR</t>
  </si>
  <si>
    <t>HART</t>
  </si>
  <si>
    <t>HOU</t>
  </si>
  <si>
    <t>IND</t>
  </si>
  <si>
    <t>JACK</t>
  </si>
  <si>
    <t>KC</t>
  </si>
  <si>
    <t>KNO</t>
  </si>
  <si>
    <t>LA</t>
  </si>
  <si>
    <t>LOU</t>
  </si>
  <si>
    <t>LR</t>
  </si>
  <si>
    <t>LSV</t>
  </si>
  <si>
    <t>MEM</t>
  </si>
  <si>
    <t>MIA</t>
  </si>
  <si>
    <t>MIL</t>
  </si>
  <si>
    <t>MINN</t>
  </si>
  <si>
    <t>MISS</t>
  </si>
  <si>
    <t>NAS</t>
  </si>
  <si>
    <t>NNE</t>
  </si>
  <si>
    <t>NOR</t>
  </si>
  <si>
    <t>NY</t>
  </si>
  <si>
    <t>OKL</t>
  </si>
  <si>
    <t>OMA</t>
  </si>
  <si>
    <t>ORL</t>
  </si>
  <si>
    <t>PEO</t>
  </si>
  <si>
    <t>PHI</t>
  </si>
  <si>
    <t>PHO</t>
  </si>
  <si>
    <t>PIT</t>
  </si>
  <si>
    <t>POR</t>
  </si>
  <si>
    <t>PRO</t>
  </si>
  <si>
    <t>RAL</t>
  </si>
  <si>
    <t>RNOR</t>
  </si>
  <si>
    <t>ROA</t>
  </si>
  <si>
    <t>SAC</t>
  </si>
  <si>
    <t>SD</t>
  </si>
  <si>
    <t>SEA</t>
  </si>
  <si>
    <t>SF</t>
  </si>
  <si>
    <t>SLC</t>
  </si>
  <si>
    <t>SOUCAR</t>
  </si>
  <si>
    <t>SP</t>
  </si>
  <si>
    <t>ST</t>
  </si>
  <si>
    <t>SYR</t>
  </si>
  <si>
    <t>TAM</t>
  </si>
  <si>
    <t>TOL</t>
  </si>
  <si>
    <t>TUL</t>
  </si>
  <si>
    <t>US.F</t>
  </si>
  <si>
    <t>WICH</t>
  </si>
  <si>
    <t>WTEX</t>
  </si>
  <si>
    <t>Total</t>
  </si>
  <si>
    <t>Market</t>
  </si>
  <si>
    <t>Total US - Groc</t>
  </si>
  <si>
    <t>Albany, NY - Groc</t>
  </si>
  <si>
    <t>Atlanta, GA - Groc</t>
  </si>
  <si>
    <t>Birmingham/Montgomery, AL - Groc</t>
  </si>
  <si>
    <t>Boise, ID - Groc</t>
  </si>
  <si>
    <t>Boston, MA - Groc</t>
  </si>
  <si>
    <t>Buffalo/Rochester, NY - Groc</t>
  </si>
  <si>
    <t>Baltimore/Washington - Groc</t>
  </si>
  <si>
    <t>Charlotte, NC - Groc</t>
  </si>
  <si>
    <t>Chicago, IL - Groc</t>
  </si>
  <si>
    <t>Cincinnati/Dayton, OH - Groc</t>
  </si>
  <si>
    <t>Cleveland, OH - Groc</t>
  </si>
  <si>
    <t>Columbus, OH - Groc</t>
  </si>
  <si>
    <t>Dallas/Ft Worth, TX - Groc</t>
  </si>
  <si>
    <t>Denver, CO - Groc</t>
  </si>
  <si>
    <t>Detroit, MI - Groc</t>
  </si>
  <si>
    <t>Des Moines, IA - Groc</t>
  </si>
  <si>
    <t>Green Bay, WI - Groc</t>
  </si>
  <si>
    <t>Grand Rapids, MI - Groc</t>
  </si>
  <si>
    <t>Harrisburg/Scranton, PA - Groc</t>
  </si>
  <si>
    <t>Hartford/Springfield, MA - Groc</t>
  </si>
  <si>
    <t>Houston, TX - Groc</t>
  </si>
  <si>
    <t>Indianapolis, IN - Groc</t>
  </si>
  <si>
    <t>Jacksonville, FL - Groc</t>
  </si>
  <si>
    <t>Kansas City, KS - Groc</t>
  </si>
  <si>
    <t>Knoxville, TN - Groc</t>
  </si>
  <si>
    <t>Los Angeles, CA - Groc</t>
  </si>
  <si>
    <t>Louisville, KY - Groc</t>
  </si>
  <si>
    <t>Little Rock, AR - Groc</t>
  </si>
  <si>
    <t>Las Vegas, NV - Groc</t>
  </si>
  <si>
    <t>Memphis, TN - Groc</t>
  </si>
  <si>
    <t>Miami/Ft Lauderdale, FL - Groc</t>
  </si>
  <si>
    <t>Milwaukee, WI - Groc</t>
  </si>
  <si>
    <t>Minneapolis/St Paul, MN - Groc</t>
  </si>
  <si>
    <t>Mississippi, MS - Groc</t>
  </si>
  <si>
    <t>Nashville, TN - Groc</t>
  </si>
  <si>
    <t>New England - Groc</t>
  </si>
  <si>
    <t>New Orleans/Mobile - Groc</t>
  </si>
  <si>
    <t>New York, NY - Groc</t>
  </si>
  <si>
    <t>Oklahoma City, OK - Groc</t>
  </si>
  <si>
    <t>Omaha, NE - Groc</t>
  </si>
  <si>
    <t>Orlando, FL - Groc</t>
  </si>
  <si>
    <t>Peoria/Springfield, IL - Groc</t>
  </si>
  <si>
    <t>Philadelphia, PA - Groc</t>
  </si>
  <si>
    <t>Phoenix/Tucson, AZ - Groc</t>
  </si>
  <si>
    <t>Pittsburgh, PA - Groc</t>
  </si>
  <si>
    <t>Portland, OR - Groc</t>
  </si>
  <si>
    <t>Providence, RI - Groc</t>
  </si>
  <si>
    <t>Raleigh/Greensboro, NC - Groc</t>
  </si>
  <si>
    <t>Richmond/Norfolk, VA - Groc</t>
  </si>
  <si>
    <t>Roanoke, VA - Groc</t>
  </si>
  <si>
    <t>Sacramento, CA - Groc</t>
  </si>
  <si>
    <t>San Diego, CA - Groc</t>
  </si>
  <si>
    <t>Seattle/Tacoma, WA - Groc</t>
  </si>
  <si>
    <t>San Francisco/Oakland, CA - Groc</t>
  </si>
  <si>
    <t>Salt Lake City, UT - Groc</t>
  </si>
  <si>
    <t>South Carolina, SC - Groc</t>
  </si>
  <si>
    <t>Spokane, WA - Groc</t>
  </si>
  <si>
    <t>St Louis, MO - Groc</t>
  </si>
  <si>
    <t>Syracuse, NY - Groc</t>
  </si>
  <si>
    <t>Tampa/St Petersburg, FL - Groc</t>
  </si>
  <si>
    <t>Toledo, OH - Groc</t>
  </si>
  <si>
    <t>Tulsa, OK - Groc</t>
  </si>
  <si>
    <t>Wichita, KS - Groc</t>
  </si>
  <si>
    <t>West Texas/New Mexico - Groc</t>
  </si>
  <si>
    <t>ACV Weighted Distribution</t>
  </si>
  <si>
    <t>Causal</t>
  </si>
  <si>
    <t>ACV</t>
  </si>
  <si>
    <t>Any Merch</t>
  </si>
  <si>
    <t>MA</t>
  </si>
  <si>
    <t>Display Only</t>
  </si>
  <si>
    <t>DA</t>
  </si>
  <si>
    <t>Feature and Display</t>
  </si>
  <si>
    <t>CA</t>
  </si>
  <si>
    <t>Feature Only</t>
  </si>
  <si>
    <t>FA</t>
  </si>
  <si>
    <t>No Merch</t>
  </si>
  <si>
    <t>Price Reductions Only</t>
  </si>
  <si>
    <t>RA</t>
  </si>
  <si>
    <t>Avg Prc/Unit</t>
  </si>
  <si>
    <t>MUP</t>
  </si>
  <si>
    <t>Avg Wkly Items/Store Selling</t>
  </si>
  <si>
    <t>IPS</t>
  </si>
  <si>
    <t>Base Dollar Sales</t>
  </si>
  <si>
    <t>BDL</t>
  </si>
  <si>
    <t>MBD</t>
  </si>
  <si>
    <t>DBD</t>
  </si>
  <si>
    <t>CBD</t>
  </si>
  <si>
    <t>FBD</t>
  </si>
  <si>
    <t>RBD</t>
  </si>
  <si>
    <t>Base Unit Sales</t>
  </si>
  <si>
    <t>BU</t>
  </si>
  <si>
    <t>MBU</t>
  </si>
  <si>
    <t>DBU</t>
  </si>
  <si>
    <t>CBU</t>
  </si>
  <si>
    <t>FBU</t>
  </si>
  <si>
    <t>RBU</t>
  </si>
  <si>
    <t>Base Volume Sales</t>
  </si>
  <si>
    <t>BEQ</t>
  </si>
  <si>
    <t>DBE</t>
  </si>
  <si>
    <t>CBE</t>
  </si>
  <si>
    <t>FBE</t>
  </si>
  <si>
    <t>RBE</t>
  </si>
  <si>
    <t>Dollar Sales</t>
  </si>
  <si>
    <t>RDL</t>
  </si>
  <si>
    <t>MDR</t>
  </si>
  <si>
    <t>DDR</t>
  </si>
  <si>
    <t>CDR</t>
  </si>
  <si>
    <t>FDR</t>
  </si>
  <si>
    <t>NMD</t>
  </si>
  <si>
    <t>RDR</t>
  </si>
  <si>
    <t>Unit Sales</t>
  </si>
  <si>
    <t>U</t>
  </si>
  <si>
    <t>MU</t>
  </si>
  <si>
    <t>DU</t>
  </si>
  <si>
    <t>CU</t>
  </si>
  <si>
    <t>FU</t>
  </si>
  <si>
    <t>NMU</t>
  </si>
  <si>
    <t>RU</t>
  </si>
  <si>
    <t>Volume Sales</t>
  </si>
  <si>
    <t>EQU</t>
  </si>
  <si>
    <t>ME</t>
  </si>
  <si>
    <t>DE</t>
  </si>
  <si>
    <t>CE</t>
  </si>
  <si>
    <t>FE</t>
  </si>
  <si>
    <t>NME</t>
  </si>
  <si>
    <t>RE</t>
  </si>
  <si>
    <t>Wtd Avg % Prc Redn</t>
  </si>
  <si>
    <t>PRRD</t>
  </si>
  <si>
    <t>PRRC</t>
  </si>
  <si>
    <t>PRRF</t>
  </si>
  <si>
    <t>PRRR</t>
  </si>
  <si>
    <t>Measures</t>
  </si>
  <si>
    <t>not used</t>
  </si>
  <si>
    <t>Grocery Channel</t>
  </si>
  <si>
    <t>Walmart Channel</t>
  </si>
  <si>
    <t>CPR_SR</t>
  </si>
  <si>
    <t>FLOST_SR</t>
  </si>
  <si>
    <t>TENKY_SR</t>
  </si>
  <si>
    <t>LOUI_SR</t>
  </si>
  <si>
    <t>MISSNA_SR</t>
  </si>
  <si>
    <t>ENGN_SR</t>
  </si>
  <si>
    <t>MTNY_SR</t>
  </si>
  <si>
    <t>USNY_SR</t>
  </si>
  <si>
    <t>ULAK_SR</t>
  </si>
  <si>
    <t>OHIE_SR</t>
  </si>
  <si>
    <t>OHIW_SR</t>
  </si>
  <si>
    <t>PENN_SR</t>
  </si>
  <si>
    <t>ILLN_SR</t>
  </si>
  <si>
    <t>CAREN_SR</t>
  </si>
  <si>
    <t>VIRG_SR</t>
  </si>
  <si>
    <t>NGEO_SR</t>
  </si>
  <si>
    <t>GAS_SR</t>
  </si>
  <si>
    <t>MISSO_SR</t>
  </si>
  <si>
    <t>VIRGW_SR</t>
  </si>
  <si>
    <t>ARKA_SR</t>
  </si>
  <si>
    <t>MISOE_SR</t>
  </si>
  <si>
    <t>TXOKL_SR</t>
  </si>
  <si>
    <t>AZS_SR</t>
  </si>
  <si>
    <t>MOUR_SR</t>
  </si>
  <si>
    <t>CARS_SR</t>
  </si>
  <si>
    <t>NENW_SR</t>
  </si>
  <si>
    <t>NDSD_SR</t>
  </si>
  <si>
    <t>WISC_SR</t>
  </si>
  <si>
    <t>IDSR_SR</t>
  </si>
  <si>
    <t>CALIN_SR</t>
  </si>
  <si>
    <t>CALIC_SR</t>
  </si>
  <si>
    <t>DALL_SR</t>
  </si>
  <si>
    <t>WAOR_SR</t>
  </si>
  <si>
    <t>TEXST_SR</t>
  </si>
  <si>
    <t>WADC_SR</t>
  </si>
  <si>
    <t>TEXSH_SR</t>
  </si>
  <si>
    <t>FLOC_SR</t>
  </si>
  <si>
    <t>Walmart Corporate-RMA - Walmart</t>
  </si>
  <si>
    <t>Walmart Region 2 North GA-RMA - Walmart</t>
  </si>
  <si>
    <t>Walmart Region 3 South GA, North FL-RMA - Walmart</t>
  </si>
  <si>
    <t>Walmart Region 4 South Carolina-RMA - Walmart</t>
  </si>
  <si>
    <t>Walmart Region 5 Dallas, Northeast TX-RMA - Walmart</t>
  </si>
  <si>
    <t>Walmart Region 6 Houston, TX-RMA - Walmart</t>
  </si>
  <si>
    <t>Walmart Region 8 South TX-RMA - Walmart</t>
  </si>
  <si>
    <t>Walmart Region 9 Central Florida-RMA - Walmart</t>
  </si>
  <si>
    <t>Walmart Region 11 South FL-RMA - Walmart</t>
  </si>
  <si>
    <t>Walmart Region 12 West TN, West KY-RMA - Walmart</t>
  </si>
  <si>
    <t>Walmart Region 13 LA, South MS-RMA - Walmart</t>
  </si>
  <si>
    <t>Walmart Region 14 North MS/AL-RMA - Walmart</t>
  </si>
  <si>
    <t>Walmart Region 16 ME, NH, VT, MA-RMA - Walmart</t>
  </si>
  <si>
    <t>Walmart Region 17 RI, CT, South NY, Northern NJ-RMA - Walmart</t>
  </si>
  <si>
    <t>Walmart Region 18 Upstate NY, Northeast PA-RMA - Walmart</t>
  </si>
  <si>
    <t>Walmart Region 19 MI, North IN-RMA - Walmart</t>
  </si>
  <si>
    <t>Walmart Region 20 West PA, East OH-RMA - Walmart</t>
  </si>
  <si>
    <t>Walmart Region 21 West and Central OH-RMA - Walmart</t>
  </si>
  <si>
    <t>Walmart Region 22 Southeast PA, South NJ-RMA - Walmart</t>
  </si>
  <si>
    <t>Walmart Region 25 IL North-RMA - Walmart</t>
  </si>
  <si>
    <t>Walmart Region 26 Western NC/VA-RMA - Walmart</t>
  </si>
  <si>
    <t>Walmart Region 27 Eastern NC/VA-RMA - Walmart</t>
  </si>
  <si>
    <t>Walmart Region 40 MO, Far Eastern KS-RMA - Walmart</t>
  </si>
  <si>
    <t>Walmart Region 41 KY/WV-RMA - Walmart</t>
  </si>
  <si>
    <t>Walmart Region 42 AR, Northeast OK-RMA - Walmart</t>
  </si>
  <si>
    <t>Walmart Region 43 South IL, IN, East MO-RMA - Walmart</t>
  </si>
  <si>
    <t>Walmart Region 44 OK, Northwest TX, West TX-RMA - Walmart</t>
  </si>
  <si>
    <t>Walmart Region 46 NM, South AZ, West TX-RMA - Walmart</t>
  </si>
  <si>
    <t>Walmart Region 47 CO, WY, KS-RMA - Walmart</t>
  </si>
  <si>
    <t>Walmart Region 51 NE, IA-RMA - Walmart</t>
  </si>
  <si>
    <t>Walmart Region 52 ND, SD, MN-RMA - Walmart</t>
  </si>
  <si>
    <t>Walmart Region 53 Wisconsin-RMA - Walmart</t>
  </si>
  <si>
    <t>Walmart Region 54 NV, UT, North and Far West AZ, South ID-RMA - Walmart</t>
  </si>
  <si>
    <t>Walmart Region 56 North and Central CA-RMA - Walmart</t>
  </si>
  <si>
    <t>Walmart Region 57 South CA-RMA - Walmart</t>
  </si>
  <si>
    <t>Walmart Region 60 WA, OR, MT, North ID-RMA - Walmart</t>
  </si>
  <si>
    <t>Walmart Region 75 MD/Washington D.C.-RMA - Walmart</t>
  </si>
  <si>
    <t>Total Us Food</t>
  </si>
  <si>
    <t>Walmart Corporate</t>
  </si>
  <si>
    <t>Dataprep calculation</t>
  </si>
  <si>
    <t>EQHH</t>
  </si>
  <si>
    <t>LEQH</t>
  </si>
  <si>
    <t>uhh</t>
  </si>
  <si>
    <t>luh</t>
  </si>
  <si>
    <t>PRI</t>
  </si>
  <si>
    <t>BPR</t>
  </si>
  <si>
    <t>LBP</t>
  </si>
  <si>
    <t>LAP</t>
  </si>
  <si>
    <t>BPU</t>
  </si>
  <si>
    <t>LBU</t>
  </si>
  <si>
    <t>PPU</t>
  </si>
  <si>
    <t>LPPU</t>
  </si>
  <si>
    <t>EQUU</t>
  </si>
  <si>
    <t>LEQUU</t>
  </si>
  <si>
    <t>FP</t>
  </si>
  <si>
    <t>FBP</t>
  </si>
  <si>
    <t>CP</t>
  </si>
  <si>
    <t>CBP</t>
  </si>
  <si>
    <t>RP</t>
  </si>
  <si>
    <t>NU</t>
  </si>
  <si>
    <t>RBP</t>
  </si>
  <si>
    <t>NPP</t>
  </si>
  <si>
    <t>MP</t>
  </si>
  <si>
    <t>DT</t>
  </si>
  <si>
    <t>FT</t>
  </si>
  <si>
    <t>CT</t>
  </si>
  <si>
    <t>RT</t>
  </si>
  <si>
    <t>FCT</t>
  </si>
  <si>
    <t>DRT</t>
  </si>
  <si>
    <t>PRRA</t>
  </si>
  <si>
    <t>AT</t>
  </si>
  <si>
    <t>LN (BPU)</t>
  </si>
  <si>
    <t>LN(PPU)</t>
  </si>
  <si>
    <t>U - MU (Same as NMU)</t>
  </si>
  <si>
    <t>MA * PRRA</t>
  </si>
  <si>
    <t>Product Name</t>
  </si>
  <si>
    <t>Category</t>
  </si>
  <si>
    <t>Pack Name</t>
  </si>
  <si>
    <t>2020 FY</t>
  </si>
  <si>
    <t>EQU/HH*1000</t>
  </si>
  <si>
    <t>LN(EQHH)</t>
  </si>
  <si>
    <t>U/HH*1000</t>
  </si>
  <si>
    <t>LN(UHH)</t>
  </si>
  <si>
    <t>PRI = RDL/EQU</t>
  </si>
  <si>
    <t>BPR = BDL/BEQ</t>
  </si>
  <si>
    <t>LBP=   LN(  BDL/BEQ  )</t>
  </si>
  <si>
    <t>LAP=   LN(  RDL/EQU  )</t>
  </si>
  <si>
    <t>BPU= BDL/BU</t>
  </si>
  <si>
    <t>PPU = RDL / U</t>
  </si>
  <si>
    <t>EQU/U</t>
  </si>
  <si>
    <t>LN(EQUU)</t>
  </si>
  <si>
    <t>FP = FDR / FE</t>
  </si>
  <si>
    <t>FBP = FBD / FBE</t>
  </si>
  <si>
    <t>CP = CDR / CE</t>
  </si>
  <si>
    <t>CBP = CBD / CBE</t>
  </si>
  <si>
    <t>RP = RDR / RE</t>
  </si>
  <si>
    <t>RBP = RBD / RBE</t>
  </si>
  <si>
    <t>MDE/NMD</t>
  </si>
  <si>
    <t>MP = MDR / ME</t>
  </si>
  <si>
    <t>DA * PRRD</t>
  </si>
  <si>
    <t>FA * PRRA</t>
  </si>
  <si>
    <t>CA * PRRC</t>
  </si>
  <si>
    <t>RA * PRRR</t>
  </si>
  <si>
    <t>FCT = FT+CT</t>
  </si>
  <si>
    <t>DRT = DT+RT</t>
  </si>
  <si>
    <t>PRRA = (NPP - MP) / NPP * 100.0</t>
  </si>
  <si>
    <t>CNC 40oz Bag_SL</t>
  </si>
  <si>
    <t>CNC LARGE 14-1-1 SB - RC 2020</t>
  </si>
  <si>
    <t>CNC XL 10-1-1 BB wBONUS - RC 2020</t>
  </si>
  <si>
    <t>CNC XXL 8-1-1 HERO - RC 2020</t>
  </si>
  <si>
    <t>LIFE LARGE 12-1-1 SB 13-15oz - RC 2020</t>
  </si>
  <si>
    <t>LIFE XL 14-1-1 BB exBONUS - RC 2020</t>
  </si>
  <si>
    <t>LIFE XXL 12-1-1 HERO - RC 2020</t>
  </si>
  <si>
    <t>QOS LARGE 12-1-1 SB wBONUS - RC 2020</t>
  </si>
  <si>
    <t>QOS XL 14-1-1 BB - RC 2020</t>
  </si>
  <si>
    <t>QSG 24.4oz - RC 2020</t>
  </si>
  <si>
    <t>QSG XL 12-1-1 BB - RC 2020</t>
  </si>
  <si>
    <t>CNC40B</t>
  </si>
  <si>
    <t>CNCLSB</t>
  </si>
  <si>
    <t>CNCXLBBB</t>
  </si>
  <si>
    <t>CNCXXLHE</t>
  </si>
  <si>
    <t>LIFLSB14</t>
  </si>
  <si>
    <t>LIFXLBBB</t>
  </si>
  <si>
    <t>LIFXXLHE</t>
  </si>
  <si>
    <t>QOSLSBB</t>
  </si>
  <si>
    <t>QOSXLBB</t>
  </si>
  <si>
    <t>QSG24</t>
  </si>
  <si>
    <t>QSGXLBB</t>
  </si>
  <si>
    <t xml:space="preserve">                      GENERAL MILLS CHEERIOS WHOLE GRAIN OAT RING TOASTED 1 CT 8.9 OZ - 0016000264191</t>
  </si>
  <si>
    <t xml:space="preserve">                      GENERAL MILLS CINNAMON TOAST CRUNCH WHOLE WHEAT AND RICE CRISPY AND CRUNCHY CINNAMON TOAST 1 CT 12 OZ - 0016000122541</t>
  </si>
  <si>
    <t xml:space="preserve">                      GENERAL MILLS CINNAMON TOAST CRUNCH WHOLE WHEAT AND RICE CRISPY AND CRUNCHY CINNAMON TOAST 1 CT 19.3 OZ - 0016000122531</t>
  </si>
  <si>
    <t xml:space="preserve">                      GENERAL MILLS CINNAMON TOAST CRUNCH WHOLE WHEAT AND RICE CRISPY AND CRUNCHY CINNAMON TOAST 1 CT 27 OZ - 0016000126851</t>
  </si>
  <si>
    <t xml:space="preserve">                      GENERAL MILLS CORN CHEX CORN SHREDDED SQUARES TOASTED 1 CT 12 OZ - 0016000487961</t>
  </si>
  <si>
    <t xml:space="preserve">                      GENERAL MILLS HONEY NUT CHEERIOS WHOLE GRAIN OAT RING HONEY NUT 1 CT 10.8 OZ - 0016000124791</t>
  </si>
  <si>
    <t xml:space="preserve">                      GENERAL MILLS HONEY NUT CHEERIOS WHOLE GRAIN OAT RING HONEY NUT 1 CT 27.2 OZ - 0016000124951</t>
  </si>
  <si>
    <t xml:space="preserve">                      GENERAL MILLS MULTI GRAIN CHEERIOS MULTI GRAIN RING REGULAR 1 CT 18 OZ - 0016000487711</t>
  </si>
  <si>
    <t xml:space="preserve">                      GENERAL MILLS WHEAT CHEX WHOLE GRAIN WHEAT SHREDDED SQUARES OVEN TOASTED 1 CT 14 OZ - 0016000275491</t>
  </si>
  <si>
    <t xml:space="preserve">  RTECRL GENERAL MILLS</t>
  </si>
  <si>
    <t xml:space="preserve">  RTECRL KELLOGG CO</t>
  </si>
  <si>
    <t xml:space="preserve">  RTECRL POST HOLDINGS INC</t>
  </si>
  <si>
    <t xml:space="preserve">  RTECRL PRIVATE LABEL</t>
  </si>
  <si>
    <t xml:space="preserve">  RTECRL QTG</t>
  </si>
  <si>
    <t>GENERAL MILLS 1 CT_11 Oz</t>
  </si>
  <si>
    <t>GENERAL MILLS 1 CT_15Oz</t>
  </si>
  <si>
    <t>GENERAL MILLS CHEERIOS  1 CT 14 OZ</t>
  </si>
  <si>
    <t>GENERAL MILLS CHEERIOS 1 CT 19.5OZ</t>
  </si>
  <si>
    <t>GENERAL MILLS CHEERIOS 1 CT_12 Oz</t>
  </si>
  <si>
    <t>GENERAL MILLS COCOA PUFFS CORN PUFF COCOA 1 CT 10.4 OZ - 0016000151281</t>
  </si>
  <si>
    <t>GENERAL MILLS LUCKY CHARMS WHOLE GRAIN OAT SHAPED PIECES TOASTED MARSHMALLOW 1 CT 19.3 OZ - 0016000126831</t>
  </si>
  <si>
    <t>GENERAL MILLS RICE CHEX_BOX_1 CT_12 Oz</t>
  </si>
  <si>
    <t>GENERAL MILLS WHEATIES WHOLE GRAIN WHEAT FLAKE TOASTED 1 CT 15.6 OZ - 0016000275651</t>
  </si>
  <si>
    <t>KELLOGGS APPLE JACKS WHOLE GRAIN CORN RING APPLE CINNAMON 1 CT 10.1 OZ - 0038000198491</t>
  </si>
  <si>
    <t>KELLOGGS CORN FLAKE REGULAR 1 CT 17 OZ - 7501008042951</t>
  </si>
  <si>
    <t>KELLOGGS CORN FLAKE REGULAR 1 CT 24 OZ - 0038000231451</t>
  </si>
  <si>
    <t>KELLOGGS CORN FLAKES CORN FLAKE REGULAR 1 CT 18 OZ - 2690089059271</t>
  </si>
  <si>
    <t>KELLOGGS FROOT LOOPS MULTI GRAIN RING FRUIT 1 CT 15 OZ - 0038000017202</t>
  </si>
  <si>
    <t>KELLOGGS FROOT LOOPS MULTI GRAIN RING FRUIT MARSHMALLOW 1 CT 10.5 OZ - 0038000198911</t>
  </si>
  <si>
    <t>KELLOGGS FROOT LOOPS MULTI GRAIN RING WILD BERRY 1 CT 18.7 OZ - 0038000178211</t>
  </si>
  <si>
    <t>KELLOGGS FROSTED FLAKES CORN FLAKE AND CLUSTER REGULAR 1 CT 12.1 OZ - 0038000131301</t>
  </si>
  <si>
    <t>KELLOGGS FROSTED FLAKES CORN FLAKE REGULAR 1 CT 24 OZ - 0038000181771</t>
  </si>
  <si>
    <t>KELLOGGS FROSTED KRISPIES RICE CRISP TOASTED 1 CT 19.4 OZ - 0038000192471</t>
  </si>
  <si>
    <t>KELLOGGS FROSTED MINI WHEATS LITTLE BITES WHOLE GRAIN WHEAT SHREDDED SQUARES REGULAR 1 CT 21.5 OZ - 0038000191811</t>
  </si>
  <si>
    <t>KELLOGGS FROSTED MINI WHEATS WHOLE GRAIN WHEAT SHREDDED SQUARES ORIGINAL 1 CT 18 OZ - 0038000199341</t>
  </si>
  <si>
    <t>KELLOGGS RAISIN BRAN CRUNCH OAT BRAN CRUNCH ORIGINAL RAISIN 1 CT 15.9 OZ - 0038000199731</t>
  </si>
  <si>
    <t>KELLOGGS RAISIN BRAN CRUNCH OAT BRAN CRUNCH TOASTED HONEY RAISIN 1 CT 22.5 OZ - 0038000199751</t>
  </si>
  <si>
    <t>KELLOGGS RAISIN BRAN WHOLE GRAN WHT &amp; BRN CRUNCH RAISIN BRAN 1 CT 18.2 OZ - 0038000734491</t>
  </si>
  <si>
    <t>KELLOGGS RAISIN BRAN WHOLE GRAN WHT &amp; BRN FLAKE TOASTED RAISIN 1 CT 23.5 OZ - 0038000596611</t>
  </si>
  <si>
    <t>KELLOGGS RICE KRISPIES RICE CRISP TOASTED 1 CT 13.5 OZ - 0038000905304</t>
  </si>
  <si>
    <t>KELLOGGS SPECIAL K _1 CT_13 Oz</t>
  </si>
  <si>
    <t>KELLOGGS SPECIAL K RED BERRIES WHOLE GRAIN WHT &amp; RC CRUNCHY FLAKES REGULAR RED BERRIES 1 CT 16.9 OZ - 0038000143711</t>
  </si>
  <si>
    <t>KELLOGGS SPECIAL K RED BERRIES WHOLE GRAIN WHT &amp; RC CRUNCHY FLAKES REGULAR STRAWBERRY 1 CT 11.7 OZ - 0038000200741</t>
  </si>
  <si>
    <t>MALT O MEAL FROSTED MINI SPOONERS WHOLE GRAIN WHEAT SHREDDED BISCUIT REGULAR 1 CT 40 OZ - 0042400216541</t>
  </si>
  <si>
    <t>MALT O MEAL FRUITY DYNO BITES RICE FLAKE FRUIT 1 CT 25 OZ - 0042400318641</t>
  </si>
  <si>
    <t>MALT O MEAL FRUITY DYNO BITES RICE FLAKE FRUIT MARSHMALLOW 1 CT 38 OZ - 0042400219631</t>
  </si>
  <si>
    <t>POST GRAPE NUTS WHOLE GRN WHT &amp; BRLY FLAKE REGULAR 1 CT 20.5 OZ - 0884912004711</t>
  </si>
  <si>
    <t>POST GREAT GRAINS MULTI GRAIN FLAKE AND CLUSTER REGULAR ALMOND AND CRANBERRY 1 CT 14 OZ - 0884912002371</t>
  </si>
  <si>
    <t>POST HONEY BUNCHES OF OATS OAT CRISP HONEY ALMOND 1 CT 18 OZ - 0884912002483</t>
  </si>
  <si>
    <t>POST HONEY BUNCHES OF OATS WHOLE GRAIN OAT CRISP AND FLAKES HONEY ALMOND 1 CT 19 OZ - 0043000112252</t>
  </si>
  <si>
    <t>POST HONEY BUNCHES OF OATS WHOLE GRAIN OAT CRUNCH HONEY ROASTED 1 CT 28 OZ - 0884912249271</t>
  </si>
  <si>
    <t>POST HONEY BUNCHES OF OATS WHOLE GRAIN OAT FLAKE AND CLUSTER HONEY ALMOND 1 CT 14.5 OZ - 0884912014251</t>
  </si>
  <si>
    <t>POST HONEY BUNCHES OF OATS WHOLE GRAIN OAT FLAKE AND CLUSTER HONEY ROASTED 1 CT 14.5 OZ - 0884912014241</t>
  </si>
  <si>
    <t>POST HONEYCOMB OAT AND CORN COMB HONEY 1 CT 12.5 OZ - 0043000111712</t>
  </si>
  <si>
    <t>POST PEBBLES_1 CT_11 Oz</t>
  </si>
  <si>
    <t>POST_1 CT_15/17 Oz</t>
  </si>
  <si>
    <t>PRIVATE LABEL 1 CT_12 &lt;2.5</t>
  </si>
  <si>
    <t>PRIVATE LABEL 1 CT_12 &lt;3.5</t>
  </si>
  <si>
    <t>PRIVATE LABEL 1 CT_12 Oz &lt;1.6</t>
  </si>
  <si>
    <t>PRIVATE LABEL 1 CT_12/16</t>
  </si>
  <si>
    <t>PRIVATE LABEL 1 CT_12/18 high</t>
  </si>
  <si>
    <t>PRIVATE LABEL 1 CT_23/28 Oz</t>
  </si>
  <si>
    <t>PRIVATE LABEL MULTI GRAIN RING ASSORTED FRUIT 1 CT 28 OZ - 196891310</t>
  </si>
  <si>
    <t>PRIVATE LABEL OAT BRAN CRUNCH REGULAR 1 CT 16 OZ - 39245847</t>
  </si>
  <si>
    <t>PRIVATE LABEL RICE SHREDDED SQUARES TOASTED 1 CT 12 OZ - 795904093</t>
  </si>
  <si>
    <t>PRIVATE LABEL WHOLE GRAIN OAT SQUARE HONEY &amp; GRAHAM 1 CT 12 OZ - 39246043</t>
  </si>
  <si>
    <t>RTE CEREAL</t>
  </si>
  <si>
    <t>GMLLSCHEE_1CT9OZ</t>
  </si>
  <si>
    <t>GMLLSTOAST_1CT12OZ</t>
  </si>
  <si>
    <t>GMLLSTOAST_1CT19OZ</t>
  </si>
  <si>
    <t>GMLLSTOAST_1CT27OZ</t>
  </si>
  <si>
    <t>GMLLSCORN_1CT12OZ</t>
  </si>
  <si>
    <t>GMLLSCHEE_1CT11OZ</t>
  </si>
  <si>
    <t>GMLLSCHEE_1CT27OZ</t>
  </si>
  <si>
    <t>GMLLSCHEEMG_1CT18OZ</t>
  </si>
  <si>
    <t>GMLLSWHEAT_1CT14OZ</t>
  </si>
  <si>
    <t>GMLLS</t>
  </si>
  <si>
    <t>KLGS</t>
  </si>
  <si>
    <t>POSTH</t>
  </si>
  <si>
    <t>PL</t>
  </si>
  <si>
    <t>RTEQTG</t>
  </si>
  <si>
    <t>GMLLS_1CT11OZ</t>
  </si>
  <si>
    <t>GMLLS_1CT15OZ</t>
  </si>
  <si>
    <t>GMLLSCHEE_1CT14OZ</t>
  </si>
  <si>
    <t>GMLLSCHEE_1CT19OZ</t>
  </si>
  <si>
    <t>GMLLSCHEE_1CT12OZ</t>
  </si>
  <si>
    <t>GMLLSCOC_1CT11OZ</t>
  </si>
  <si>
    <t>GMLLSLUK_1CT19OZ</t>
  </si>
  <si>
    <t>GMLLSRICE_1CT12OZ</t>
  </si>
  <si>
    <t>GMLLSWHEAT_1CT15OZ</t>
  </si>
  <si>
    <t>KLGSAPPL_1CT10OZ</t>
  </si>
  <si>
    <t>KLGSFROST_1CT17OZ</t>
  </si>
  <si>
    <t>KLGSCORNF_1CT24OZ</t>
  </si>
  <si>
    <t>KLGSCORNF_1CT18OZ</t>
  </si>
  <si>
    <t>KLGSFLOOP_1CT15OZ</t>
  </si>
  <si>
    <t>KLGSFLOOP_1CT10OZ</t>
  </si>
  <si>
    <t>KLGSFLOOP_1CT19OZ</t>
  </si>
  <si>
    <t>KLGSFROST_1CT12OZ</t>
  </si>
  <si>
    <t>KLGSFROST_1CT24OZ</t>
  </si>
  <si>
    <t>KLGSRICEK_1CT19OZ</t>
  </si>
  <si>
    <t>KLGSBITE_1CT21OZ</t>
  </si>
  <si>
    <t>KLGSFROST_1CT18OZ</t>
  </si>
  <si>
    <t>KLGSRAIS_1CT16OZ</t>
  </si>
  <si>
    <t>KLGSRAIS_1CT22OZ</t>
  </si>
  <si>
    <t>KLGSRAIS_1CT18OZ</t>
  </si>
  <si>
    <t>KLGSRAIS_1CT23OZ</t>
  </si>
  <si>
    <t>KLGSRICEK_1CT13OZ</t>
  </si>
  <si>
    <t>KLGSSPK_1CT13OZ</t>
  </si>
  <si>
    <t>KLGSSPK_1CT17OZ</t>
  </si>
  <si>
    <t>KLGSSPK_1CT12OZ</t>
  </si>
  <si>
    <t>POSTHMFRO_1CT_40OZ</t>
  </si>
  <si>
    <t>POSTHMFRU_1CT25OZ</t>
  </si>
  <si>
    <t>POSTHMFRU_1CT38OZ</t>
  </si>
  <si>
    <t>POSTHGRAP_1CT20OZ</t>
  </si>
  <si>
    <t>POSTHGRNS_1CT_14OZ</t>
  </si>
  <si>
    <t>POSTHOAT_1CT18OZ</t>
  </si>
  <si>
    <t>POSTHOAT_1CT19OZ</t>
  </si>
  <si>
    <t>POSTHOAT_1CT28OZ</t>
  </si>
  <si>
    <t>POSTHOAT_1CT14OZ</t>
  </si>
  <si>
    <t>POSTHOATHNY_1CT14OZ</t>
  </si>
  <si>
    <t>POSTHHNY_1CT14OZ</t>
  </si>
  <si>
    <t>POSTHPBBL_1CT11OZ</t>
  </si>
  <si>
    <t>POSTH_1CT11OZ</t>
  </si>
  <si>
    <t>PL_1CT12OZA</t>
  </si>
  <si>
    <t>PL_1CT12OZB</t>
  </si>
  <si>
    <t>PL_1CT12OZC</t>
  </si>
  <si>
    <t>PL_1CT12to16OZ</t>
  </si>
  <si>
    <t>PL_1CT12to18OZ</t>
  </si>
  <si>
    <t>PL_1CT23to28OZ</t>
  </si>
  <si>
    <t>PL_1CT28OZ</t>
  </si>
  <si>
    <t>PL_1CT25OZ</t>
  </si>
  <si>
    <t>PL_1CT12OZ</t>
  </si>
  <si>
    <t>PLGOLDEN_1CT12OZ</t>
  </si>
  <si>
    <t>RTE</t>
  </si>
  <si>
    <t>49 WE 06-DEC-2020</t>
  </si>
  <si>
    <t>Own Segment</t>
  </si>
  <si>
    <t>Competitive Segment</t>
  </si>
  <si>
    <t>LEVEL</t>
  </si>
  <si>
    <t>Competitive MNF</t>
  </si>
  <si>
    <t>Own MNF</t>
  </si>
  <si>
    <t>RTEQTG_Rest</t>
  </si>
  <si>
    <t>Custom Agg</t>
  </si>
  <si>
    <t>Own MNF Rest</t>
  </si>
  <si>
    <t>0/1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</si>
</sst>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indexed="8"/>
      <name val="Arial"/>
    </font>
    <font>
      <b/>
      <sz val="10"/>
      <color theme="0"/>
      <name val="Arial"/>
      <family val="2"/>
    </font>
    <font>
      <i/>
      <sz val="11"/>
      <color rgb="FFFF0000"/>
      <name val="Calibri"/>
      <family val="2"/>
      <scheme val="minor"/>
    </font>
    <font>
      <b/>
      <sz val="9"/>
      <color indexed="8"/>
      <name val="Arial"/>
      <family val="2"/>
    </font>
    <font>
      <b/>
      <sz val="10"/>
      <name val="Arial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0" fontId="4" fillId="0" borderId="0"/>
    <xf numFmtId="0" fontId="11" fillId="0" borderId="0"/>
  </cellStyleXfs>
  <cellXfs count="91">
    <xf numFmtId="0" fontId="0" fillId="0" borderId="0" xfId="0"/>
    <xf numFmtId="0" fontId="5" fillId="0" borderId="1" xfId="4" applyFont="1" applyBorder="1" applyAlignment="1">
      <alignment horizontal="left" vertical="top"/>
    </xf>
    <xf numFmtId="0" fontId="0" fillId="0" borderId="1" xfId="0" applyBorder="1"/>
    <xf numFmtId="0" fontId="2" fillId="2" borderId="1" xfId="0" applyFont="1" applyFill="1" applyBorder="1"/>
    <xf numFmtId="0" fontId="6" fillId="2" borderId="1" xfId="4" applyFont="1" applyFill="1" applyBorder="1" applyAlignment="1">
      <alignment vertical="center"/>
    </xf>
    <xf numFmtId="0" fontId="0" fillId="0" borderId="1" xfId="0" applyFill="1" applyBorder="1"/>
    <xf numFmtId="0" fontId="5" fillId="0" borderId="1" xfId="4" applyFont="1" applyFill="1" applyBorder="1" applyAlignment="1">
      <alignment horizontal="left" vertical="top"/>
    </xf>
    <xf numFmtId="0" fontId="7" fillId="0" borderId="1" xfId="0" applyFont="1" applyBorder="1"/>
    <xf numFmtId="0" fontId="3" fillId="3" borderId="1" xfId="0" applyFont="1" applyFill="1" applyBorder="1"/>
    <xf numFmtId="0" fontId="8" fillId="3" borderId="1" xfId="4" applyFont="1" applyFill="1" applyBorder="1" applyAlignment="1">
      <alignment horizontal="left" vertical="top"/>
    </xf>
    <xf numFmtId="0" fontId="0" fillId="4" borderId="1" xfId="0" applyFill="1" applyBorder="1"/>
    <xf numFmtId="0" fontId="4" fillId="0" borderId="0" xfId="3" applyBorder="1"/>
    <xf numFmtId="0" fontId="2" fillId="2" borderId="1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Fill="1" applyBorder="1"/>
    <xf numFmtId="165" fontId="0" fillId="0" borderId="0" xfId="2" applyNumberFormat="1" applyFont="1" applyFill="1" applyBorder="1"/>
    <xf numFmtId="164" fontId="0" fillId="0" borderId="3" xfId="1" applyNumberFormat="1" applyFont="1" applyFill="1" applyBorder="1"/>
    <xf numFmtId="164" fontId="0" fillId="0" borderId="0" xfId="1" applyNumberFormat="1" applyFont="1" applyFill="1" applyBorder="1"/>
    <xf numFmtId="164" fontId="0" fillId="0" borderId="9" xfId="1" applyNumberFormat="1" applyFont="1" applyFill="1" applyBorder="1"/>
    <xf numFmtId="0" fontId="0" fillId="0" borderId="5" xfId="0" applyFill="1" applyBorder="1"/>
    <xf numFmtId="165" fontId="0" fillId="0" borderId="5" xfId="2" applyNumberFormat="1" applyFont="1" applyFill="1" applyBorder="1"/>
    <xf numFmtId="164" fontId="0" fillId="0" borderId="4" xfId="1" applyNumberFormat="1" applyFont="1" applyFill="1" applyBorder="1"/>
    <xf numFmtId="164" fontId="0" fillId="0" borderId="5" xfId="1" applyNumberFormat="1" applyFont="1" applyFill="1" applyBorder="1"/>
    <xf numFmtId="164" fontId="0" fillId="0" borderId="10" xfId="1" applyNumberFormat="1" applyFont="1" applyFill="1" applyBorder="1"/>
    <xf numFmtId="0" fontId="5" fillId="0" borderId="16" xfId="4" applyFont="1" applyBorder="1" applyAlignment="1">
      <alignment horizontal="left" vertical="top"/>
    </xf>
    <xf numFmtId="0" fontId="5" fillId="0" borderId="17" xfId="4" applyFont="1" applyBorder="1" applyAlignment="1">
      <alignment horizontal="left" vertical="top"/>
    </xf>
    <xf numFmtId="0" fontId="5" fillId="0" borderId="18" xfId="4" applyFont="1" applyBorder="1" applyAlignment="1">
      <alignment horizontal="left" vertical="top"/>
    </xf>
    <xf numFmtId="0" fontId="4" fillId="0" borderId="15" xfId="4" applyBorder="1"/>
    <xf numFmtId="0" fontId="0" fillId="0" borderId="15" xfId="0" applyFill="1" applyBorder="1"/>
    <xf numFmtId="165" fontId="0" fillId="0" borderId="15" xfId="2" applyNumberFormat="1" applyFont="1" applyFill="1" applyBorder="1"/>
    <xf numFmtId="164" fontId="0" fillId="0" borderId="2" xfId="1" applyNumberFormat="1" applyFont="1" applyFill="1" applyBorder="1"/>
    <xf numFmtId="164" fontId="0" fillId="0" borderId="15" xfId="1" applyNumberFormat="1" applyFont="1" applyFill="1" applyBorder="1"/>
    <xf numFmtId="164" fontId="0" fillId="0" borderId="11" xfId="1" applyNumberFormat="1" applyFont="1" applyFill="1" applyBorder="1"/>
    <xf numFmtId="0" fontId="4" fillId="0" borderId="0" xfId="4" applyBorder="1"/>
    <xf numFmtId="0" fontId="4" fillId="0" borderId="5" xfId="4" applyBorder="1"/>
    <xf numFmtId="0" fontId="2" fillId="2" borderId="19" xfId="0" applyFont="1" applyFill="1" applyBorder="1"/>
    <xf numFmtId="0" fontId="2" fillId="2" borderId="20" xfId="0" applyFont="1" applyFill="1" applyBorder="1"/>
    <xf numFmtId="0" fontId="2" fillId="2" borderId="21" xfId="0" applyFont="1" applyFill="1" applyBorder="1"/>
    <xf numFmtId="165" fontId="0" fillId="0" borderId="2" xfId="2" applyNumberFormat="1" applyFont="1" applyFill="1" applyBorder="1"/>
    <xf numFmtId="165" fontId="0" fillId="0" borderId="3" xfId="2" applyNumberFormat="1" applyFont="1" applyFill="1" applyBorder="1"/>
    <xf numFmtId="165" fontId="0" fillId="0" borderId="4" xfId="2" applyNumberFormat="1" applyFont="1" applyFill="1" applyBorder="1"/>
    <xf numFmtId="0" fontId="10" fillId="0" borderId="0" xfId="0" applyFont="1"/>
    <xf numFmtId="0" fontId="3" fillId="0" borderId="0" xfId="0" applyFont="1"/>
    <xf numFmtId="165" fontId="0" fillId="0" borderId="0" xfId="2" quotePrefix="1" applyNumberFormat="1" applyFont="1" applyBorder="1"/>
    <xf numFmtId="0" fontId="2" fillId="2" borderId="33" xfId="0" applyFont="1" applyFill="1" applyBorder="1" applyAlignment="1"/>
    <xf numFmtId="0" fontId="2" fillId="2" borderId="34" xfId="0" applyFont="1" applyFill="1" applyBorder="1" applyAlignment="1"/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5" borderId="29" xfId="5" applyFont="1" applyFill="1" applyBorder="1" applyAlignment="1">
      <alignment horizontal="left" vertical="top"/>
    </xf>
    <xf numFmtId="0" fontId="12" fillId="5" borderId="30" xfId="5" applyFont="1" applyFill="1" applyBorder="1" applyAlignment="1">
      <alignment horizontal="left" vertical="top"/>
    </xf>
    <xf numFmtId="0" fontId="0" fillId="5" borderId="30" xfId="0" applyFill="1" applyBorder="1"/>
    <xf numFmtId="0" fontId="0" fillId="5" borderId="31" xfId="0" applyFill="1" applyBorder="1"/>
    <xf numFmtId="165" fontId="0" fillId="5" borderId="32" xfId="2" quotePrefix="1" applyNumberFormat="1" applyFont="1" applyFill="1" applyBorder="1"/>
    <xf numFmtId="165" fontId="0" fillId="5" borderId="30" xfId="2" quotePrefix="1" applyNumberFormat="1" applyFont="1" applyFill="1" applyBorder="1"/>
    <xf numFmtId="165" fontId="0" fillId="5" borderId="31" xfId="2" quotePrefix="1" applyNumberFormat="1" applyFont="1" applyFill="1" applyBorder="1"/>
    <xf numFmtId="164" fontId="0" fillId="5" borderId="29" xfId="1" applyNumberFormat="1" applyFont="1" applyFill="1" applyBorder="1"/>
    <xf numFmtId="164" fontId="0" fillId="5" borderId="30" xfId="1" applyNumberFormat="1" applyFont="1" applyFill="1" applyBorder="1"/>
    <xf numFmtId="164" fontId="0" fillId="5" borderId="31" xfId="1" applyNumberFormat="1" applyFont="1" applyFill="1" applyBorder="1"/>
    <xf numFmtId="164" fontId="0" fillId="5" borderId="32" xfId="1" applyNumberFormat="1" applyFont="1" applyFill="1" applyBorder="1"/>
    <xf numFmtId="0" fontId="12" fillId="5" borderId="23" xfId="5" applyFont="1" applyFill="1" applyBorder="1" applyAlignment="1">
      <alignment horizontal="left" vertical="top"/>
    </xf>
    <xf numFmtId="0" fontId="12" fillId="5" borderId="1" xfId="5" applyFont="1" applyFill="1" applyBorder="1" applyAlignment="1">
      <alignment horizontal="left" vertical="top"/>
    </xf>
    <xf numFmtId="0" fontId="4" fillId="5" borderId="1" xfId="3" applyFill="1" applyBorder="1"/>
    <xf numFmtId="0" fontId="4" fillId="5" borderId="24" xfId="3" applyFill="1" applyBorder="1"/>
    <xf numFmtId="165" fontId="0" fillId="5" borderId="22" xfId="2" quotePrefix="1" applyNumberFormat="1" applyFont="1" applyFill="1" applyBorder="1"/>
    <xf numFmtId="165" fontId="0" fillId="5" borderId="1" xfId="2" quotePrefix="1" applyNumberFormat="1" applyFont="1" applyFill="1" applyBorder="1"/>
    <xf numFmtId="165" fontId="0" fillId="5" borderId="24" xfId="2" quotePrefix="1" applyNumberFormat="1" applyFont="1" applyFill="1" applyBorder="1"/>
    <xf numFmtId="164" fontId="0" fillId="5" borderId="23" xfId="1" applyNumberFormat="1" applyFont="1" applyFill="1" applyBorder="1"/>
    <xf numFmtId="164" fontId="0" fillId="5" borderId="1" xfId="1" applyNumberFormat="1" applyFont="1" applyFill="1" applyBorder="1"/>
    <xf numFmtId="164" fontId="0" fillId="5" borderId="24" xfId="1" applyNumberFormat="1" applyFont="1" applyFill="1" applyBorder="1"/>
    <xf numFmtId="164" fontId="0" fillId="5" borderId="22" xfId="1" applyNumberFormat="1" applyFont="1" applyFill="1" applyBorder="1"/>
    <xf numFmtId="0" fontId="0" fillId="5" borderId="1" xfId="0" applyFill="1" applyBorder="1"/>
    <xf numFmtId="0" fontId="0" fillId="5" borderId="24" xfId="0" applyFill="1" applyBorder="1"/>
    <xf numFmtId="0" fontId="9" fillId="5" borderId="1" xfId="3" applyFont="1" applyFill="1" applyBorder="1"/>
    <xf numFmtId="0" fontId="12" fillId="5" borderId="25" xfId="5" applyFont="1" applyFill="1" applyBorder="1" applyAlignment="1">
      <alignment horizontal="left" vertical="top"/>
    </xf>
    <xf numFmtId="0" fontId="12" fillId="5" borderId="26" xfId="5" applyFont="1" applyFill="1" applyBorder="1" applyAlignment="1">
      <alignment horizontal="left" vertical="top"/>
    </xf>
    <xf numFmtId="0" fontId="0" fillId="5" borderId="26" xfId="0" applyFill="1" applyBorder="1"/>
    <xf numFmtId="0" fontId="0" fillId="5" borderId="27" xfId="0" applyFill="1" applyBorder="1"/>
    <xf numFmtId="165" fontId="0" fillId="5" borderId="28" xfId="2" quotePrefix="1" applyNumberFormat="1" applyFont="1" applyFill="1" applyBorder="1"/>
    <xf numFmtId="165" fontId="0" fillId="5" borderId="26" xfId="2" quotePrefix="1" applyNumberFormat="1" applyFont="1" applyFill="1" applyBorder="1"/>
    <xf numFmtId="165" fontId="0" fillId="5" borderId="27" xfId="2" quotePrefix="1" applyNumberFormat="1" applyFont="1" applyFill="1" applyBorder="1"/>
    <xf numFmtId="164" fontId="0" fillId="5" borderId="25" xfId="1" applyNumberFormat="1" applyFont="1" applyFill="1" applyBorder="1"/>
    <xf numFmtId="164" fontId="0" fillId="5" borderId="26" xfId="1" applyNumberFormat="1" applyFont="1" applyFill="1" applyBorder="1"/>
    <xf numFmtId="164" fontId="0" fillId="5" borderId="27" xfId="1" applyNumberFormat="1" applyFont="1" applyFill="1" applyBorder="1"/>
    <xf numFmtId="0" fontId="0" fillId="5" borderId="0" xfId="0" applyFill="1"/>
  </cellXfs>
  <cellStyles count="6">
    <cellStyle name="Comma" xfId="1" builtinId="3"/>
    <cellStyle name="Currency" xfId="2" builtinId="4"/>
    <cellStyle name="Normal" xfId="0" builtinId="0"/>
    <cellStyle name="Normal_prod name" xfId="3" xr:uid="{00000000-0005-0000-0000-000003000000}"/>
    <cellStyle name="Normal_Sheet2" xfId="4" xr:uid="{00000000-0005-0000-0000-000005000000}"/>
    <cellStyle name="Normal_Sheet3" xfId="5" xr:uid="{A33DAE98-85AC-4BC8-828A-F63B90FE9C4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190501</xdr:colOff>
      <xdr:row>0</xdr:row>
      <xdr:rowOff>76200</xdr:rowOff>
    </xdr:from>
    <xdr:to>
      <xdr:col>9</xdr:col>
      <xdr:colOff>533401</xdr:colOff>
      <xdr:row>4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40888A-2998-45F4-A2A9-B00AE8182C54}"/>
            </a:ext>
          </a:extLst>
        </xdr:cNvPr>
        <xdr:cNvSpPr txBox="1"/>
      </xdr:nvSpPr>
      <xdr:spPr>
        <a:xfrm>
          <a:off x="9467851" y="76200"/>
          <a:ext cx="2171700" cy="8001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note</a:t>
          </a:r>
          <a:r>
            <a:rPr lang="en-US" sz="1100"/>
            <a:t>:</a:t>
          </a:r>
          <a:r>
            <a:rPr lang="en-US" sz="1100" baseline="0"/>
            <a:t> names of the mkts "_SR" as in the previous walmart projects, altought these are Regions, not SuperCenter Regions</a:t>
          </a:r>
          <a:endParaRPr lang="en-US" sz="1100"/>
        </a:p>
      </xdr:txBody>
    </xdr:sp>
    <xdr:clientData/>
  </xdr:twoCellAnchor>
  <xdr:twoCellAnchor>
    <xdr:from>
      <xdr:col>5</xdr:col>
      <xdr:colOff>85725</xdr:colOff>
      <xdr:row>0</xdr:row>
      <xdr:rowOff>85725</xdr:rowOff>
    </xdr:from>
    <xdr:to>
      <xdr:col>6</xdr:col>
      <xdr:colOff>190500</xdr:colOff>
      <xdr:row>0</xdr:row>
      <xdr:rowOff>85725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2FF854E-DAAF-4F4D-BE2E-C252AB2D9016}"/>
            </a:ext>
          </a:extLst>
        </xdr:cNvPr>
        <xdr:cNvCxnSpPr/>
      </xdr:nvCxnSpPr>
      <xdr:spPr>
        <a:xfrm>
          <a:off x="8458200" y="85725"/>
          <a:ext cx="10096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5E81-64A5-4E6E-9D40-DDDB34336A7E}">
  <dimension ref="A2:R85"/>
  <sheetViews>
    <sheetView tabSelected="1" zoomScale="85" zoomScaleNormal="85" workbookViewId="0">
      <pane xSplit="6" ySplit="6" topLeftCell="K7" activePane="bottomRight" state="frozen"/>
      <selection pane="topRight" activeCell="F1" sqref="F1"/>
      <selection pane="bottomLeft" activeCell="A7" sqref="A7"/>
      <selection pane="bottomRight"/>
    </sheetView>
  </sheetViews>
  <sheetFormatPr defaultRowHeight="15" x14ac:dyDescent="0.25"/>
  <cols>
    <col min="1" max="1" width="4" bestFit="1" customWidth="1"/>
    <col min="2" max="2" width="33" bestFit="1" customWidth="1"/>
    <col min="3" max="3" width="13.140625" customWidth="1"/>
    <col min="4" max="4" width="8.85546875" bestFit="1" customWidth="1"/>
    <col min="5" max="5" width="10.7109375" bestFit="1" customWidth="1"/>
    <col min="6" max="6" width="20.85546875" bestFit="1" customWidth="1"/>
    <col min="7" max="15" width="19.7109375" customWidth="1"/>
  </cols>
  <sheetData>
    <row r="2" spans="1:18" x14ac:dyDescent="0.25">
      <c r="G2" s="44"/>
      <c r="H2" s="44"/>
      <c r="I2" s="44"/>
    </row>
    <row r="3" spans="1:18" ht="18.75" x14ac:dyDescent="0.3">
      <c r="B3" s="42"/>
    </row>
    <row r="4" spans="1:18" ht="15.75" thickBot="1" x14ac:dyDescent="0.3">
      <c r="G4" s="43" t="s">
        <v>282</v>
      </c>
    </row>
    <row r="5" spans="1:18" ht="15.75" thickBot="1" x14ac:dyDescent="0.3">
      <c r="G5" s="49" t="s">
        <v>175</v>
      </c>
      <c r="H5" s="50"/>
      <c r="I5" s="51"/>
      <c r="J5" s="49" t="s">
        <v>191</v>
      </c>
      <c r="K5" s="50"/>
      <c r="L5" s="51"/>
      <c r="M5" s="49" t="s">
        <v>183</v>
      </c>
      <c r="N5" s="50"/>
      <c r="O5" s="51"/>
    </row>
    <row r="6" spans="1:18" ht="15.75" thickBot="1" x14ac:dyDescent="0.3">
      <c r="A6" s="45" t="s">
        <v>516</v>
      </c>
      <c r="B6" s="45" t="s">
        <v>320</v>
      </c>
      <c r="C6" s="46" t="s">
        <v>1</v>
      </c>
      <c r="D6" s="46" t="s">
        <v>321</v>
      </c>
      <c r="E6" s="46" t="s">
        <v>322</v>
      </c>
      <c r="F6" s="46" t="s">
        <v>510</v>
      </c>
      <c r="G6" s="47" t="s">
        <v>2</v>
      </c>
      <c r="H6" s="47" t="s">
        <v>3</v>
      </c>
      <c r="I6" s="47" t="s">
        <v>507</v>
      </c>
      <c r="J6" s="47" t="s">
        <v>2</v>
      </c>
      <c r="K6" s="47" t="s">
        <v>3</v>
      </c>
      <c r="L6" s="47" t="s">
        <v>507</v>
      </c>
      <c r="M6" s="47" t="s">
        <v>2</v>
      </c>
      <c r="N6" s="47" t="s">
        <v>3</v>
      </c>
      <c r="O6" s="48" t="s">
        <v>507</v>
      </c>
    </row>
    <row r="7" spans="1:18" x14ac:dyDescent="0.25">
      <c r="A7" s="90">
        <v>1</v>
      </c>
      <c r="B7" s="55" t="s">
        <v>439</v>
      </c>
      <c r="C7" s="56" t="s">
        <v>506</v>
      </c>
      <c r="D7" s="57"/>
      <c r="E7" s="57"/>
      <c r="F7" s="58" t="s">
        <v>321</v>
      </c>
      <c r="G7" s="59">
        <v>5026482272</v>
      </c>
      <c r="H7" s="60">
        <v>4973114319.9999981</v>
      </c>
      <c r="I7" s="61">
        <v>5204782008.000001</v>
      </c>
      <c r="J7" s="62">
        <v>1501724090.6557596</v>
      </c>
      <c r="K7" s="63">
        <v>1443204210.0226643</v>
      </c>
      <c r="L7" s="64">
        <v>1478296018.602716</v>
      </c>
      <c r="M7" s="65">
        <v>1605090577.7453301</v>
      </c>
      <c r="N7" s="63">
        <v>1545294777.3994727</v>
      </c>
      <c r="O7" s="63">
        <v>1562301648.6659985</v>
      </c>
    </row>
    <row r="8" spans="1:18" x14ac:dyDescent="0.25">
      <c r="A8" s="90">
        <v>1</v>
      </c>
      <c r="B8" s="66" t="s">
        <v>386</v>
      </c>
      <c r="C8" s="67" t="s">
        <v>453</v>
      </c>
      <c r="D8" s="68"/>
      <c r="E8" s="68"/>
      <c r="F8" s="69" t="s">
        <v>512</v>
      </c>
      <c r="G8" s="70">
        <v>339713879.50000006</v>
      </c>
      <c r="H8" s="71">
        <v>322014482</v>
      </c>
      <c r="I8" s="72">
        <v>336108699.99999994</v>
      </c>
      <c r="J8" s="73">
        <v>109589496.22413525</v>
      </c>
      <c r="K8" s="74">
        <v>101633290.36804342</v>
      </c>
      <c r="L8" s="75">
        <v>102755080.17250234</v>
      </c>
      <c r="M8" s="76">
        <v>116066603.56834233</v>
      </c>
      <c r="N8" s="74">
        <v>106187315.89728023</v>
      </c>
      <c r="O8" s="74">
        <v>105120207.72319861</v>
      </c>
    </row>
    <row r="9" spans="1:18" x14ac:dyDescent="0.25">
      <c r="A9" s="90">
        <v>1</v>
      </c>
      <c r="B9" s="66" t="s">
        <v>514</v>
      </c>
      <c r="C9" s="67" t="s">
        <v>513</v>
      </c>
      <c r="D9" s="68"/>
      <c r="E9" s="68"/>
      <c r="F9" s="69" t="s">
        <v>515</v>
      </c>
      <c r="G9" s="70">
        <v>18829382.352831125</v>
      </c>
      <c r="H9" s="71">
        <v>17268275.904204309</v>
      </c>
      <c r="I9" s="72">
        <v>12577493.97141701</v>
      </c>
      <c r="J9" s="73">
        <v>4449696.6025539488</v>
      </c>
      <c r="K9" s="74">
        <v>4357361.3948662281</v>
      </c>
      <c r="L9" s="75">
        <v>2933576.10712713</v>
      </c>
      <c r="M9" s="76">
        <v>7768081.5017409176</v>
      </c>
      <c r="N9" s="74">
        <v>7773531.3901852369</v>
      </c>
      <c r="O9" s="74">
        <v>5531946.6993182898</v>
      </c>
    </row>
    <row r="10" spans="1:18" x14ac:dyDescent="0.25">
      <c r="A10" s="90">
        <v>1</v>
      </c>
      <c r="B10" s="66" t="s">
        <v>351</v>
      </c>
      <c r="C10" s="67" t="s">
        <v>362</v>
      </c>
      <c r="D10" s="68"/>
      <c r="E10" s="68"/>
      <c r="F10" s="69" t="s">
        <v>508</v>
      </c>
      <c r="G10" s="70">
        <v>169987.79416900003</v>
      </c>
      <c r="H10" s="71">
        <v>630.19179559999998</v>
      </c>
      <c r="I10" s="72">
        <v>39618.000582999986</v>
      </c>
      <c r="J10" s="73">
        <v>71630.603287816062</v>
      </c>
      <c r="K10" s="74">
        <v>365.4235097765922</v>
      </c>
      <c r="L10" s="75">
        <v>15361.43331885338</v>
      </c>
      <c r="M10" s="76">
        <v>28652.241315126426</v>
      </c>
      <c r="N10" s="74">
        <v>146.1694039106369</v>
      </c>
      <c r="O10" s="74">
        <v>6144.5733275413522</v>
      </c>
      <c r="R10" s="11"/>
    </row>
    <row r="11" spans="1:18" x14ac:dyDescent="0.25">
      <c r="A11" s="90">
        <v>1</v>
      </c>
      <c r="B11" s="66" t="s">
        <v>352</v>
      </c>
      <c r="C11" s="67" t="s">
        <v>363</v>
      </c>
      <c r="D11" s="68"/>
      <c r="E11" s="68"/>
      <c r="F11" s="69" t="s">
        <v>508</v>
      </c>
      <c r="G11" s="70">
        <v>99855630.700000003</v>
      </c>
      <c r="H11" s="71">
        <v>89822432.800000027</v>
      </c>
      <c r="I11" s="72">
        <v>91578027.799999997</v>
      </c>
      <c r="J11" s="73">
        <v>33177470.672883429</v>
      </c>
      <c r="K11" s="74">
        <v>28879858.281369396</v>
      </c>
      <c r="L11" s="75">
        <v>28175821.540523075</v>
      </c>
      <c r="M11" s="76">
        <v>40872836.549573652</v>
      </c>
      <c r="N11" s="74">
        <v>35595761.99754978</v>
      </c>
      <c r="O11" s="74">
        <v>34767894.609063908</v>
      </c>
      <c r="R11" s="11"/>
    </row>
    <row r="12" spans="1:18" x14ac:dyDescent="0.25">
      <c r="A12" s="90">
        <v>1</v>
      </c>
      <c r="B12" s="66" t="s">
        <v>353</v>
      </c>
      <c r="C12" s="67" t="s">
        <v>364</v>
      </c>
      <c r="D12" s="68"/>
      <c r="E12" s="68"/>
      <c r="F12" s="69" t="s">
        <v>508</v>
      </c>
      <c r="G12" s="70">
        <v>28418050.099999998</v>
      </c>
      <c r="H12" s="71">
        <v>27567679.149999987</v>
      </c>
      <c r="I12" s="72">
        <v>30930030.240000006</v>
      </c>
      <c r="J12" s="73">
        <v>9632115.6085377</v>
      </c>
      <c r="K12" s="74">
        <v>9022597.7986418065</v>
      </c>
      <c r="L12" s="75">
        <v>9727851.2020842321</v>
      </c>
      <c r="M12" s="76">
        <v>8308235.921410365</v>
      </c>
      <c r="N12" s="74">
        <v>7751911.4626836143</v>
      </c>
      <c r="O12" s="74">
        <v>8352909.793194131</v>
      </c>
    </row>
    <row r="13" spans="1:18" x14ac:dyDescent="0.25">
      <c r="A13" s="90">
        <v>1</v>
      </c>
      <c r="B13" s="66" t="s">
        <v>354</v>
      </c>
      <c r="C13" s="67" t="s">
        <v>365</v>
      </c>
      <c r="D13" s="77"/>
      <c r="E13" s="77"/>
      <c r="F13" s="69" t="s">
        <v>508</v>
      </c>
      <c r="G13" s="70">
        <v>9873642.1600000001</v>
      </c>
      <c r="H13" s="71">
        <v>9837882.1600000039</v>
      </c>
      <c r="I13" s="72">
        <v>10120292.199999997</v>
      </c>
      <c r="J13" s="73">
        <v>3786660.8029197804</v>
      </c>
      <c r="K13" s="74">
        <v>3871352.1293055541</v>
      </c>
      <c r="L13" s="75">
        <v>3983371.9462064989</v>
      </c>
      <c r="M13" s="76">
        <v>2266015.7782398509</v>
      </c>
      <c r="N13" s="74">
        <v>2317204.2682737112</v>
      </c>
      <c r="O13" s="74">
        <v>2391257.4312471426</v>
      </c>
    </row>
    <row r="14" spans="1:18" x14ac:dyDescent="0.25">
      <c r="A14" s="90">
        <v>1</v>
      </c>
      <c r="B14" s="66" t="s">
        <v>355</v>
      </c>
      <c r="C14" s="67" t="s">
        <v>366</v>
      </c>
      <c r="D14" s="77"/>
      <c r="E14" s="77"/>
      <c r="F14" s="78" t="s">
        <v>508</v>
      </c>
      <c r="G14" s="70">
        <v>55889808.959999986</v>
      </c>
      <c r="H14" s="71">
        <v>50286669.310000002</v>
      </c>
      <c r="I14" s="72">
        <v>49671063.159999982</v>
      </c>
      <c r="J14" s="73">
        <v>18854317.638531648</v>
      </c>
      <c r="K14" s="74">
        <v>16379464.175645106</v>
      </c>
      <c r="L14" s="75">
        <v>15455603.955630666</v>
      </c>
      <c r="M14" s="76">
        <v>23204126.628349941</v>
      </c>
      <c r="N14" s="74">
        <v>20159162.357261389</v>
      </c>
      <c r="O14" s="74">
        <v>19022281.791545432</v>
      </c>
    </row>
    <row r="15" spans="1:18" x14ac:dyDescent="0.25">
      <c r="A15" s="90">
        <v>1</v>
      </c>
      <c r="B15" s="66" t="s">
        <v>356</v>
      </c>
      <c r="C15" s="67" t="s">
        <v>367</v>
      </c>
      <c r="D15" s="77"/>
      <c r="E15" s="77"/>
      <c r="F15" s="78" t="s">
        <v>508</v>
      </c>
      <c r="G15" s="70">
        <v>50527973.789999999</v>
      </c>
      <c r="H15" s="71">
        <v>52410032.149999991</v>
      </c>
      <c r="I15" s="72">
        <v>57991464.700000003</v>
      </c>
      <c r="J15" s="73">
        <v>15938446.573433178</v>
      </c>
      <c r="K15" s="74">
        <v>16038418.703770205</v>
      </c>
      <c r="L15" s="75">
        <v>17159927.065923579</v>
      </c>
      <c r="M15" s="76">
        <v>14167508.065273942</v>
      </c>
      <c r="N15" s="74">
        <v>14256372.181129072</v>
      </c>
      <c r="O15" s="74">
        <v>15253268.503043182</v>
      </c>
    </row>
    <row r="16" spans="1:18" x14ac:dyDescent="0.25">
      <c r="A16" s="90">
        <v>1</v>
      </c>
      <c r="B16" s="66" t="s">
        <v>357</v>
      </c>
      <c r="C16" s="67" t="s">
        <v>368</v>
      </c>
      <c r="D16" s="77"/>
      <c r="E16" s="77"/>
      <c r="F16" s="78" t="s">
        <v>508</v>
      </c>
      <c r="G16" s="70">
        <v>14533549.07</v>
      </c>
      <c r="H16" s="71">
        <v>15645000.74000001</v>
      </c>
      <c r="I16" s="72">
        <v>15411805.310000001</v>
      </c>
      <c r="J16" s="73">
        <v>5038749.4829379376</v>
      </c>
      <c r="K16" s="74">
        <v>5524202.040769672</v>
      </c>
      <c r="L16" s="75">
        <v>5433391.0717694284</v>
      </c>
      <c r="M16" s="76">
        <v>3250806.1180244745</v>
      </c>
      <c r="N16" s="74">
        <v>3564001.316625596</v>
      </c>
      <c r="O16" s="74">
        <v>3505413.5946899531</v>
      </c>
    </row>
    <row r="17" spans="1:15" x14ac:dyDescent="0.25">
      <c r="A17" s="90">
        <v>1</v>
      </c>
      <c r="B17" s="66" t="s">
        <v>358</v>
      </c>
      <c r="C17" s="67" t="s">
        <v>369</v>
      </c>
      <c r="D17" s="77"/>
      <c r="E17" s="77"/>
      <c r="F17" s="78" t="s">
        <v>508</v>
      </c>
      <c r="G17" s="70">
        <v>37291687.32</v>
      </c>
      <c r="H17" s="71">
        <v>32830970.929999996</v>
      </c>
      <c r="I17" s="72">
        <v>35561025.399999999</v>
      </c>
      <c r="J17" s="73">
        <v>10268541.123351822</v>
      </c>
      <c r="K17" s="74">
        <v>8737813.5820411425</v>
      </c>
      <c r="L17" s="75">
        <v>9082978.4972148631</v>
      </c>
      <c r="M17" s="76">
        <v>11329750.81769591</v>
      </c>
      <c r="N17" s="74">
        <v>9640746.3590224069</v>
      </c>
      <c r="O17" s="74">
        <v>10021576.153396687</v>
      </c>
    </row>
    <row r="18" spans="1:15" x14ac:dyDescent="0.25">
      <c r="A18" s="90">
        <v>1</v>
      </c>
      <c r="B18" s="66" t="s">
        <v>359</v>
      </c>
      <c r="C18" s="67" t="s">
        <v>370</v>
      </c>
      <c r="D18" s="77"/>
      <c r="E18" s="77"/>
      <c r="F18" s="78" t="s">
        <v>508</v>
      </c>
      <c r="G18" s="70">
        <v>1136881.5320000001</v>
      </c>
      <c r="H18" s="71">
        <v>1118921.8569999996</v>
      </c>
      <c r="I18" s="72">
        <v>1350822.2359999998</v>
      </c>
      <c r="J18" s="73">
        <v>295320.72168501467</v>
      </c>
      <c r="K18" s="74">
        <v>293526.67668045312</v>
      </c>
      <c r="L18" s="75">
        <v>334741.22484049795</v>
      </c>
      <c r="M18" s="76">
        <v>225006.26414096358</v>
      </c>
      <c r="N18" s="74">
        <v>223639.37270891669</v>
      </c>
      <c r="O18" s="74">
        <v>255040.93321180795</v>
      </c>
    </row>
    <row r="19" spans="1:15" x14ac:dyDescent="0.25">
      <c r="A19" s="90">
        <v>1</v>
      </c>
      <c r="B19" s="66" t="s">
        <v>360</v>
      </c>
      <c r="C19" s="67" t="s">
        <v>371</v>
      </c>
      <c r="D19" s="77"/>
      <c r="E19" s="77"/>
      <c r="F19" s="78" t="s">
        <v>508</v>
      </c>
      <c r="G19" s="70">
        <v>1118323.5109999997</v>
      </c>
      <c r="H19" s="71">
        <v>1188317.6470000003</v>
      </c>
      <c r="I19" s="72">
        <v>1551652.6220000002</v>
      </c>
      <c r="J19" s="73">
        <v>360747.56448024587</v>
      </c>
      <c r="K19" s="74">
        <v>373713.97744644142</v>
      </c>
      <c r="L19" s="75">
        <v>470193.04380140518</v>
      </c>
      <c r="M19" s="76">
        <v>236555.7799870465</v>
      </c>
      <c r="N19" s="74">
        <v>245058.34586651891</v>
      </c>
      <c r="O19" s="74">
        <v>308323.30741075746</v>
      </c>
    </row>
    <row r="20" spans="1:15" x14ac:dyDescent="0.25">
      <c r="A20" s="90">
        <v>1</v>
      </c>
      <c r="B20" s="66" t="s">
        <v>361</v>
      </c>
      <c r="C20" s="67" t="s">
        <v>372</v>
      </c>
      <c r="D20" s="77"/>
      <c r="E20" s="77"/>
      <c r="F20" s="78" t="s">
        <v>508</v>
      </c>
      <c r="G20" s="70">
        <v>22068962.209999997</v>
      </c>
      <c r="H20" s="71">
        <v>24037669.16</v>
      </c>
      <c r="I20" s="72">
        <v>29325404.359999999</v>
      </c>
      <c r="J20" s="73">
        <v>7715798.8295327313</v>
      </c>
      <c r="K20" s="74">
        <v>8154616.1839976562</v>
      </c>
      <c r="L20" s="75">
        <v>9982263.084062105</v>
      </c>
      <c r="M20" s="76">
        <v>4409027.9025901314</v>
      </c>
      <c r="N20" s="74">
        <v>4659780.6765700886</v>
      </c>
      <c r="O20" s="74">
        <v>5704150.3337497739</v>
      </c>
    </row>
    <row r="21" spans="1:15" x14ac:dyDescent="0.25">
      <c r="A21" s="90">
        <v>1</v>
      </c>
      <c r="B21" s="66" t="s">
        <v>382</v>
      </c>
      <c r="C21" s="67" t="s">
        <v>449</v>
      </c>
      <c r="D21" s="68"/>
      <c r="E21" s="68"/>
      <c r="F21" s="78" t="s">
        <v>511</v>
      </c>
      <c r="G21" s="70">
        <v>1557238678</v>
      </c>
      <c r="H21" s="71">
        <v>1610831224.0000002</v>
      </c>
      <c r="I21" s="72">
        <v>1710422724.0000002</v>
      </c>
      <c r="J21" s="73">
        <v>423885931.6444881</v>
      </c>
      <c r="K21" s="74">
        <v>430230100.88746434</v>
      </c>
      <c r="L21" s="75">
        <v>450070543.23364413</v>
      </c>
      <c r="M21" s="76">
        <v>490265226.95092392</v>
      </c>
      <c r="N21" s="74">
        <v>502788113.32690781</v>
      </c>
      <c r="O21" s="74">
        <v>512581986.71300691</v>
      </c>
    </row>
    <row r="22" spans="1:15" x14ac:dyDescent="0.25">
      <c r="A22" s="90">
        <v>1</v>
      </c>
      <c r="B22" s="66" t="s">
        <v>383</v>
      </c>
      <c r="C22" s="67" t="s">
        <v>450</v>
      </c>
      <c r="D22" s="68"/>
      <c r="E22" s="68"/>
      <c r="F22" s="78" t="s">
        <v>511</v>
      </c>
      <c r="G22" s="70">
        <v>1568461704.0000002</v>
      </c>
      <c r="H22" s="71">
        <v>1497187506</v>
      </c>
      <c r="I22" s="72">
        <v>1579283618.0000002</v>
      </c>
      <c r="J22" s="73">
        <v>444939662.10019982</v>
      </c>
      <c r="K22" s="74">
        <v>419738827.20459378</v>
      </c>
      <c r="L22" s="75">
        <v>440831031.40202302</v>
      </c>
      <c r="M22" s="76">
        <v>494188492.91072816</v>
      </c>
      <c r="N22" s="74">
        <v>459503114.28798944</v>
      </c>
      <c r="O22" s="74">
        <v>475634681.123707</v>
      </c>
    </row>
    <row r="23" spans="1:15" x14ac:dyDescent="0.25">
      <c r="A23" s="90">
        <v>1</v>
      </c>
      <c r="B23" s="66" t="s">
        <v>384</v>
      </c>
      <c r="C23" s="67" t="s">
        <v>451</v>
      </c>
      <c r="D23" s="68"/>
      <c r="E23" s="68"/>
      <c r="F23" s="78" t="s">
        <v>511</v>
      </c>
      <c r="G23" s="70">
        <v>863578765.00000012</v>
      </c>
      <c r="H23" s="71">
        <v>841087976.99999976</v>
      </c>
      <c r="I23" s="72">
        <v>889556941.00000024</v>
      </c>
      <c r="J23" s="73">
        <v>292366533.99398923</v>
      </c>
      <c r="K23" s="74">
        <v>269211877.49548966</v>
      </c>
      <c r="L23" s="75">
        <v>279171304.19424403</v>
      </c>
      <c r="M23" s="76">
        <v>263983853.23717356</v>
      </c>
      <c r="N23" s="74">
        <v>242475473.58284801</v>
      </c>
      <c r="O23" s="74">
        <v>247989850.92421848</v>
      </c>
    </row>
    <row r="24" spans="1:15" x14ac:dyDescent="0.25">
      <c r="A24" s="90">
        <v>1</v>
      </c>
      <c r="B24" s="66" t="s">
        <v>385</v>
      </c>
      <c r="C24" s="67" t="s">
        <v>452</v>
      </c>
      <c r="D24" s="68"/>
      <c r="E24" s="68"/>
      <c r="F24" s="78" t="s">
        <v>511</v>
      </c>
      <c r="G24" s="70">
        <v>436925582.49999988</v>
      </c>
      <c r="H24" s="71">
        <v>430143762.00000012</v>
      </c>
      <c r="I24" s="72">
        <v>399535848.49999988</v>
      </c>
      <c r="J24" s="73">
        <v>183395541.65406179</v>
      </c>
      <c r="K24" s="74">
        <v>175445664.89248544</v>
      </c>
      <c r="L24" s="75">
        <v>157964319.2862877</v>
      </c>
      <c r="M24" s="76">
        <v>178236057.40908483</v>
      </c>
      <c r="N24" s="74">
        <v>171792151.43970731</v>
      </c>
      <c r="O24" s="74">
        <v>156969080.4880968</v>
      </c>
    </row>
    <row r="25" spans="1:15" x14ac:dyDescent="0.25">
      <c r="A25" s="90">
        <v>1</v>
      </c>
      <c r="B25" s="66" t="s">
        <v>373</v>
      </c>
      <c r="C25" s="67" t="s">
        <v>440</v>
      </c>
      <c r="D25" s="79"/>
      <c r="E25" s="79"/>
      <c r="F25" s="78" t="s">
        <v>509</v>
      </c>
      <c r="G25" s="70">
        <v>33017402.780000001</v>
      </c>
      <c r="H25" s="71">
        <v>44560013.80999998</v>
      </c>
      <c r="I25" s="72">
        <v>50903336.289999992</v>
      </c>
      <c r="J25" s="73">
        <v>6917901.1809047991</v>
      </c>
      <c r="K25" s="74">
        <v>9855757.0968540609</v>
      </c>
      <c r="L25" s="75">
        <v>11057598.71733626</v>
      </c>
      <c r="M25" s="76">
        <v>12435558.477269094</v>
      </c>
      <c r="N25" s="74">
        <v>17716622.500187054</v>
      </c>
      <c r="O25" s="74">
        <v>19877042.454316482</v>
      </c>
    </row>
    <row r="26" spans="1:15" x14ac:dyDescent="0.25">
      <c r="A26" s="90">
        <v>1</v>
      </c>
      <c r="B26" s="66" t="s">
        <v>374</v>
      </c>
      <c r="C26" s="67" t="s">
        <v>441</v>
      </c>
      <c r="D26" s="68"/>
      <c r="E26" s="68"/>
      <c r="F26" s="78" t="s">
        <v>509</v>
      </c>
      <c r="G26" s="70">
        <v>74457015.840000004</v>
      </c>
      <c r="H26" s="71">
        <v>81092220.699999988</v>
      </c>
      <c r="I26" s="72">
        <v>80090401.399999976</v>
      </c>
      <c r="J26" s="73">
        <v>22771953.967357427</v>
      </c>
      <c r="K26" s="74">
        <v>25054045.058565181</v>
      </c>
      <c r="L26" s="75">
        <v>24428005.643406872</v>
      </c>
      <c r="M26" s="76">
        <v>30140035.175631613</v>
      </c>
      <c r="N26" s="74">
        <v>33405245.512136988</v>
      </c>
      <c r="O26" s="74">
        <v>32570637.886402488</v>
      </c>
    </row>
    <row r="27" spans="1:15" x14ac:dyDescent="0.25">
      <c r="A27" s="90">
        <v>1</v>
      </c>
      <c r="B27" s="66" t="s">
        <v>375</v>
      </c>
      <c r="C27" s="67" t="s">
        <v>442</v>
      </c>
      <c r="D27" s="68"/>
      <c r="E27" s="68"/>
      <c r="F27" s="78" t="s">
        <v>509</v>
      </c>
      <c r="G27" s="70">
        <v>50238784.122192308</v>
      </c>
      <c r="H27" s="71">
        <v>95212850.200000003</v>
      </c>
      <c r="I27" s="72">
        <v>109780410.30000001</v>
      </c>
      <c r="J27" s="73">
        <v>15368996.700456671</v>
      </c>
      <c r="K27" s="74">
        <v>27758903.39356038</v>
      </c>
      <c r="L27" s="75">
        <v>32236586.106695451</v>
      </c>
      <c r="M27" s="76">
        <v>13851758.643790878</v>
      </c>
      <c r="N27" s="74">
        <v>24877370.567156423</v>
      </c>
      <c r="O27" s="74">
        <v>28895621.769827794</v>
      </c>
    </row>
    <row r="28" spans="1:15" x14ac:dyDescent="0.25">
      <c r="A28" s="90">
        <v>1</v>
      </c>
      <c r="B28" s="66" t="s">
        <v>376</v>
      </c>
      <c r="C28" s="67" t="s">
        <v>443</v>
      </c>
      <c r="D28" s="68"/>
      <c r="E28" s="68"/>
      <c r="F28" s="78" t="s">
        <v>509</v>
      </c>
      <c r="G28" s="70">
        <v>12423014.189820301</v>
      </c>
      <c r="H28" s="71">
        <v>29340230.400000002</v>
      </c>
      <c r="I28" s="72">
        <v>32747770.239999998</v>
      </c>
      <c r="J28" s="73">
        <v>4719775.3949458515</v>
      </c>
      <c r="K28" s="74">
        <v>11386825.110320667</v>
      </c>
      <c r="L28" s="75">
        <v>11450361.944907714</v>
      </c>
      <c r="M28" s="76">
        <v>2796903.9377456903</v>
      </c>
      <c r="N28" s="74">
        <v>6747748.213523359</v>
      </c>
      <c r="O28" s="74">
        <v>6785399.6710564243</v>
      </c>
    </row>
    <row r="29" spans="1:15" x14ac:dyDescent="0.25">
      <c r="A29" s="90">
        <v>1</v>
      </c>
      <c r="B29" s="66" t="s">
        <v>377</v>
      </c>
      <c r="C29" s="67" t="s">
        <v>444</v>
      </c>
      <c r="D29" s="68"/>
      <c r="E29" s="68"/>
      <c r="F29" s="78" t="s">
        <v>509</v>
      </c>
      <c r="G29" s="70">
        <v>24406126.480000004</v>
      </c>
      <c r="H29" s="71">
        <v>24696521.48</v>
      </c>
      <c r="I29" s="72">
        <v>23240679.190000005</v>
      </c>
      <c r="J29" s="73">
        <v>6207534.6078705983</v>
      </c>
      <c r="K29" s="74">
        <v>6106132.8819610728</v>
      </c>
      <c r="L29" s="75">
        <v>5460612.6178913554</v>
      </c>
      <c r="M29" s="76">
        <v>8276712.8104941323</v>
      </c>
      <c r="N29" s="74">
        <v>8141510.5092814295</v>
      </c>
      <c r="O29" s="74">
        <v>7280816.8238551402</v>
      </c>
    </row>
    <row r="30" spans="1:15" x14ac:dyDescent="0.25">
      <c r="A30" s="90">
        <v>1</v>
      </c>
      <c r="B30" s="66" t="s">
        <v>378</v>
      </c>
      <c r="C30" s="67" t="s">
        <v>445</v>
      </c>
      <c r="D30" s="68"/>
      <c r="E30" s="68"/>
      <c r="F30" s="78" t="s">
        <v>509</v>
      </c>
      <c r="G30" s="70">
        <v>105973315.3</v>
      </c>
      <c r="H30" s="71">
        <v>106261406.70000002</v>
      </c>
      <c r="I30" s="72">
        <v>107711795.69999997</v>
      </c>
      <c r="J30" s="73">
        <v>30970243.345640831</v>
      </c>
      <c r="K30" s="74">
        <v>29372130.293391999</v>
      </c>
      <c r="L30" s="75">
        <v>29019937.596927881</v>
      </c>
      <c r="M30" s="76">
        <v>43119268.637918755</v>
      </c>
      <c r="N30" s="74">
        <v>43510974.119606219</v>
      </c>
      <c r="O30" s="74">
        <v>42991950.892702788</v>
      </c>
    </row>
    <row r="31" spans="1:15" x14ac:dyDescent="0.25">
      <c r="A31" s="90">
        <v>1</v>
      </c>
      <c r="B31" s="66" t="s">
        <v>379</v>
      </c>
      <c r="C31" s="67" t="s">
        <v>446</v>
      </c>
      <c r="D31" s="68"/>
      <c r="E31" s="68"/>
      <c r="F31" s="78" t="s">
        <v>509</v>
      </c>
      <c r="G31" s="70">
        <v>17206650.429000001</v>
      </c>
      <c r="H31" s="71">
        <v>32526584.280000005</v>
      </c>
      <c r="I31" s="72">
        <v>36864141.150000006</v>
      </c>
      <c r="J31" s="73">
        <v>6617633.2482484719</v>
      </c>
      <c r="K31" s="74">
        <v>12701644.540126884</v>
      </c>
      <c r="L31" s="75">
        <v>13005144.766468633</v>
      </c>
      <c r="M31" s="76">
        <v>3910146.9994126093</v>
      </c>
      <c r="N31" s="74">
        <v>7471814.9906189376</v>
      </c>
      <c r="O31" s="74">
        <v>7649591.7235189211</v>
      </c>
    </row>
    <row r="32" spans="1:15" x14ac:dyDescent="0.25">
      <c r="A32" s="90">
        <v>1</v>
      </c>
      <c r="B32" s="66" t="s">
        <v>380</v>
      </c>
      <c r="C32" s="67" t="s">
        <v>447</v>
      </c>
      <c r="D32" s="68"/>
      <c r="E32" s="68"/>
      <c r="F32" s="78" t="s">
        <v>509</v>
      </c>
      <c r="G32" s="70">
        <v>25083679.350000005</v>
      </c>
      <c r="H32" s="71">
        <v>24277792.679999996</v>
      </c>
      <c r="I32" s="72">
        <v>27405437.099999998</v>
      </c>
      <c r="J32" s="73">
        <v>6599164.6551257838</v>
      </c>
      <c r="K32" s="74">
        <v>6084330.365029864</v>
      </c>
      <c r="L32" s="75">
        <v>7104051.2024851041</v>
      </c>
      <c r="M32" s="76">
        <v>5865924.1378895845</v>
      </c>
      <c r="N32" s="74">
        <v>5408293.6578043234</v>
      </c>
      <c r="O32" s="74">
        <v>6314712.179986761</v>
      </c>
    </row>
    <row r="33" spans="1:15" x14ac:dyDescent="0.25">
      <c r="A33" s="90">
        <v>1</v>
      </c>
      <c r="B33" s="66" t="s">
        <v>381</v>
      </c>
      <c r="C33" s="67" t="s">
        <v>448</v>
      </c>
      <c r="D33" s="68"/>
      <c r="E33" s="68"/>
      <c r="F33" s="78" t="s">
        <v>509</v>
      </c>
      <c r="G33" s="70">
        <v>19798554.080000002</v>
      </c>
      <c r="H33" s="71">
        <v>20059454.849999998</v>
      </c>
      <c r="I33" s="72">
        <v>19793164.499999996</v>
      </c>
      <c r="J33" s="73">
        <v>5775624.0078894701</v>
      </c>
      <c r="K33" s="74">
        <v>5697806.3105282858</v>
      </c>
      <c r="L33" s="75">
        <v>5357776.5397175783</v>
      </c>
      <c r="M33" s="76">
        <v>6600713.1518736808</v>
      </c>
      <c r="N33" s="74">
        <v>6511778.6406037565</v>
      </c>
      <c r="O33" s="74">
        <v>6123173.1882486586</v>
      </c>
    </row>
    <row r="34" spans="1:15" x14ac:dyDescent="0.25">
      <c r="A34" s="90">
        <v>1</v>
      </c>
      <c r="B34" s="66" t="s">
        <v>387</v>
      </c>
      <c r="C34" s="67" t="s">
        <v>454</v>
      </c>
      <c r="D34" s="77"/>
      <c r="E34" s="77"/>
      <c r="F34" s="78" t="s">
        <v>509</v>
      </c>
      <c r="G34" s="70">
        <v>71605215.01000002</v>
      </c>
      <c r="H34" s="71">
        <v>85346385.340000004</v>
      </c>
      <c r="I34" s="72">
        <v>84240490.799999982</v>
      </c>
      <c r="J34" s="73">
        <v>19806546.11987466</v>
      </c>
      <c r="K34" s="74">
        <v>23509012.582542062</v>
      </c>
      <c r="L34" s="75">
        <v>23063488.010858897</v>
      </c>
      <c r="M34" s="76">
        <v>28634928.630511899</v>
      </c>
      <c r="N34" s="74">
        <v>34740464.033892058</v>
      </c>
      <c r="O34" s="74">
        <v>33973977.71179793</v>
      </c>
    </row>
    <row r="35" spans="1:15" x14ac:dyDescent="0.25">
      <c r="A35" s="90">
        <v>1</v>
      </c>
      <c r="B35" s="66" t="s">
        <v>388</v>
      </c>
      <c r="C35" s="67" t="s">
        <v>455</v>
      </c>
      <c r="D35" s="77"/>
      <c r="E35" s="77"/>
      <c r="F35" s="78" t="s">
        <v>509</v>
      </c>
      <c r="G35" s="70">
        <v>65595546.589999996</v>
      </c>
      <c r="H35" s="71">
        <v>110845871.90000001</v>
      </c>
      <c r="I35" s="72">
        <v>126118448.89999998</v>
      </c>
      <c r="J35" s="73">
        <v>18234564.356930632</v>
      </c>
      <c r="K35" s="74">
        <v>29413138.078166936</v>
      </c>
      <c r="L35" s="75">
        <v>34040527.859380372</v>
      </c>
      <c r="M35" s="76">
        <v>19512535.214831736</v>
      </c>
      <c r="N35" s="74">
        <v>31138289.246077392</v>
      </c>
      <c r="O35" s="74">
        <v>35769242.864791483</v>
      </c>
    </row>
    <row r="36" spans="1:15" x14ac:dyDescent="0.25">
      <c r="A36" s="90">
        <v>1</v>
      </c>
      <c r="B36" s="66" t="s">
        <v>389</v>
      </c>
      <c r="C36" s="67" t="s">
        <v>456</v>
      </c>
      <c r="D36" s="77"/>
      <c r="E36" s="77"/>
      <c r="F36" s="78" t="s">
        <v>509</v>
      </c>
      <c r="G36" s="70">
        <v>0</v>
      </c>
      <c r="H36" s="71">
        <v>0</v>
      </c>
      <c r="I36" s="72">
        <v>29681358.554423302</v>
      </c>
      <c r="J36" s="73">
        <v>0</v>
      </c>
      <c r="K36" s="74">
        <v>0</v>
      </c>
      <c r="L36" s="75">
        <v>7153122.4069600897</v>
      </c>
      <c r="M36" s="76">
        <v>0</v>
      </c>
      <c r="N36" s="74">
        <v>0</v>
      </c>
      <c r="O36" s="74">
        <v>8039847.5972327292</v>
      </c>
    </row>
    <row r="37" spans="1:15" x14ac:dyDescent="0.25">
      <c r="A37" s="90">
        <v>1</v>
      </c>
      <c r="B37" s="66" t="s">
        <v>390</v>
      </c>
      <c r="C37" s="67" t="s">
        <v>457</v>
      </c>
      <c r="D37" s="77"/>
      <c r="E37" s="77"/>
      <c r="F37" s="78" t="s">
        <v>509</v>
      </c>
      <c r="G37" s="70">
        <v>121823056.79999998</v>
      </c>
      <c r="H37" s="71">
        <v>123300042.89999998</v>
      </c>
      <c r="I37" s="72">
        <v>146324492.29999998</v>
      </c>
      <c r="J37" s="73">
        <v>34704447.153295375</v>
      </c>
      <c r="K37" s="74">
        <v>34166577.299854413</v>
      </c>
      <c r="L37" s="75">
        <v>40691133.782544479</v>
      </c>
      <c r="M37" s="76">
        <v>30688292.303772721</v>
      </c>
      <c r="N37" s="74">
        <v>29156478.455770046</v>
      </c>
      <c r="O37" s="74">
        <v>34711616.146779411</v>
      </c>
    </row>
    <row r="38" spans="1:15" x14ac:dyDescent="0.25">
      <c r="A38" s="90">
        <v>1</v>
      </c>
      <c r="B38" s="66" t="s">
        <v>391</v>
      </c>
      <c r="C38" s="67" t="s">
        <v>458</v>
      </c>
      <c r="D38" s="77"/>
      <c r="E38" s="77"/>
      <c r="F38" s="78" t="s">
        <v>509</v>
      </c>
      <c r="G38" s="70">
        <v>91048062.599999994</v>
      </c>
      <c r="H38" s="71">
        <v>77457726.640000001</v>
      </c>
      <c r="I38" s="72">
        <v>68066776.999999985</v>
      </c>
      <c r="J38" s="73">
        <v>22396446.577898599</v>
      </c>
      <c r="K38" s="74">
        <v>17631663.298382528</v>
      </c>
      <c r="L38" s="75">
        <v>14705720.087159202</v>
      </c>
      <c r="M38" s="76">
        <v>29861925.794142015</v>
      </c>
      <c r="N38" s="74">
        <v>23508824.447010998</v>
      </c>
      <c r="O38" s="74">
        <v>19607624.623953607</v>
      </c>
    </row>
    <row r="39" spans="1:15" x14ac:dyDescent="0.25">
      <c r="A39" s="90">
        <v>1</v>
      </c>
      <c r="B39" s="66" t="s">
        <v>392</v>
      </c>
      <c r="C39" s="67" t="s">
        <v>459</v>
      </c>
      <c r="D39" s="77"/>
      <c r="E39" s="77"/>
      <c r="F39" s="78" t="s">
        <v>509</v>
      </c>
      <c r="G39" s="70">
        <v>24375178.700000007</v>
      </c>
      <c r="H39" s="71">
        <v>25148844.259999998</v>
      </c>
      <c r="I39" s="72">
        <v>26409386.070000008</v>
      </c>
      <c r="J39" s="73">
        <v>6557631.6927574957</v>
      </c>
      <c r="K39" s="74">
        <v>6281864.6445097057</v>
      </c>
      <c r="L39" s="75">
        <v>5989276.9693064503</v>
      </c>
      <c r="M39" s="76">
        <v>8891703.9901796542</v>
      </c>
      <c r="N39" s="74">
        <v>9067201.9146024846</v>
      </c>
      <c r="O39" s="74">
        <v>9259674.1775448024</v>
      </c>
    </row>
    <row r="40" spans="1:15" x14ac:dyDescent="0.25">
      <c r="A40" s="90">
        <v>1</v>
      </c>
      <c r="B40" s="66" t="s">
        <v>393</v>
      </c>
      <c r="C40" s="67" t="s">
        <v>460</v>
      </c>
      <c r="D40" s="77"/>
      <c r="E40" s="77"/>
      <c r="F40" s="78" t="s">
        <v>509</v>
      </c>
      <c r="G40" s="70">
        <v>37696688.499999993</v>
      </c>
      <c r="H40" s="71">
        <v>31967869.290000003</v>
      </c>
      <c r="I40" s="72">
        <v>34757269.090000011</v>
      </c>
      <c r="J40" s="73">
        <v>11212311.884079142</v>
      </c>
      <c r="K40" s="74">
        <v>9128505.4526533205</v>
      </c>
      <c r="L40" s="75">
        <v>9785936.2452236675</v>
      </c>
      <c r="M40" s="76">
        <v>8974770.0401610248</v>
      </c>
      <c r="N40" s="74">
        <v>7563785.5578303821</v>
      </c>
      <c r="O40" s="74">
        <v>8110814.1153597049</v>
      </c>
    </row>
    <row r="41" spans="1:15" x14ac:dyDescent="0.25">
      <c r="A41" s="90">
        <v>1</v>
      </c>
      <c r="B41" s="66" t="s">
        <v>394</v>
      </c>
      <c r="C41" s="67" t="s">
        <v>461</v>
      </c>
      <c r="D41" s="77"/>
      <c r="E41" s="77"/>
      <c r="F41" s="78" t="s">
        <v>509</v>
      </c>
      <c r="G41" s="70">
        <v>8010456.2519999985</v>
      </c>
      <c r="H41" s="71">
        <v>14764859.325000001</v>
      </c>
      <c r="I41" s="72">
        <v>21709484.740000002</v>
      </c>
      <c r="J41" s="73">
        <v>1920696.2247390621</v>
      </c>
      <c r="K41" s="74">
        <v>3498340.1842408301</v>
      </c>
      <c r="L41" s="75">
        <v>4821136.3862460386</v>
      </c>
      <c r="M41" s="76">
        <v>2560928.2996520833</v>
      </c>
      <c r="N41" s="74">
        <v>4664453.5789877716</v>
      </c>
      <c r="O41" s="74">
        <v>6428181.8483280502</v>
      </c>
    </row>
    <row r="42" spans="1:15" x14ac:dyDescent="0.25">
      <c r="A42" s="90">
        <v>1</v>
      </c>
      <c r="B42" s="66" t="s">
        <v>395</v>
      </c>
      <c r="C42" s="67" t="s">
        <v>462</v>
      </c>
      <c r="D42" s="77"/>
      <c r="E42" s="77"/>
      <c r="F42" s="78" t="s">
        <v>509</v>
      </c>
      <c r="G42" s="70">
        <v>18504389.060000002</v>
      </c>
      <c r="H42" s="71">
        <v>20075679.18</v>
      </c>
      <c r="I42" s="72">
        <v>21686119.690000001</v>
      </c>
      <c r="J42" s="73">
        <v>3897332.6411858695</v>
      </c>
      <c r="K42" s="74">
        <v>4305757.1048650006</v>
      </c>
      <c r="L42" s="75">
        <v>4512497.9826446148</v>
      </c>
      <c r="M42" s="76">
        <v>3997264.2473701229</v>
      </c>
      <c r="N42" s="74">
        <v>4416161.1331948722</v>
      </c>
      <c r="O42" s="74">
        <v>4628203.0591226788</v>
      </c>
    </row>
    <row r="43" spans="1:15" x14ac:dyDescent="0.25">
      <c r="A43" s="90">
        <v>1</v>
      </c>
      <c r="B43" s="66" t="s">
        <v>396</v>
      </c>
      <c r="C43" s="67" t="s">
        <v>463</v>
      </c>
      <c r="D43" s="77"/>
      <c r="E43" s="77"/>
      <c r="F43" s="78" t="s">
        <v>509</v>
      </c>
      <c r="G43" s="70">
        <v>143813.44947699999</v>
      </c>
      <c r="H43" s="71">
        <v>26735187.569999997</v>
      </c>
      <c r="I43" s="72">
        <v>30888846.580000002</v>
      </c>
      <c r="J43" s="73">
        <v>37376.519801174421</v>
      </c>
      <c r="K43" s="74">
        <v>6638316.7049573269</v>
      </c>
      <c r="L43" s="75">
        <v>7435818.0733466074</v>
      </c>
      <c r="M43" s="76">
        <v>59045.626825571067</v>
      </c>
      <c r="N43" s="74">
        <v>10500981.551879359</v>
      </c>
      <c r="O43" s="74">
        <v>11763249.84864188</v>
      </c>
    </row>
    <row r="44" spans="1:15" x14ac:dyDescent="0.25">
      <c r="A44" s="90">
        <v>1</v>
      </c>
      <c r="B44" s="66" t="s">
        <v>397</v>
      </c>
      <c r="C44" s="67" t="s">
        <v>464</v>
      </c>
      <c r="D44" s="77"/>
      <c r="E44" s="77"/>
      <c r="F44" s="78" t="s">
        <v>509</v>
      </c>
      <c r="G44" s="70">
        <v>36177245.149999999</v>
      </c>
      <c r="H44" s="71">
        <v>49589277.880000018</v>
      </c>
      <c r="I44" s="72">
        <v>55849857.320000023</v>
      </c>
      <c r="J44" s="73">
        <v>10980743.092135184</v>
      </c>
      <c r="K44" s="74">
        <v>16808752.934426181</v>
      </c>
      <c r="L44" s="75">
        <v>18740913.802066654</v>
      </c>
      <c r="M44" s="76">
        <v>9246064.5433744136</v>
      </c>
      <c r="N44" s="74">
        <v>14010644.700906703</v>
      </c>
      <c r="O44" s="74">
        <v>15617464.984007051</v>
      </c>
    </row>
    <row r="45" spans="1:15" x14ac:dyDescent="0.25">
      <c r="A45" s="90">
        <v>1</v>
      </c>
      <c r="B45" s="66" t="s">
        <v>398</v>
      </c>
      <c r="C45" s="67" t="s">
        <v>465</v>
      </c>
      <c r="D45" s="77"/>
      <c r="E45" s="77"/>
      <c r="F45" s="78" t="s">
        <v>509</v>
      </c>
      <c r="G45" s="70">
        <v>0</v>
      </c>
      <c r="H45" s="71">
        <v>71265.473461999994</v>
      </c>
      <c r="I45" s="72">
        <v>16232403.780000001</v>
      </c>
      <c r="J45" s="73">
        <v>0</v>
      </c>
      <c r="K45" s="74">
        <v>23179.935946404934</v>
      </c>
      <c r="L45" s="75">
        <v>4746868.7740896568</v>
      </c>
      <c r="M45" s="76">
        <v>0</v>
      </c>
      <c r="N45" s="74">
        <v>15453.290630936623</v>
      </c>
      <c r="O45" s="74">
        <v>3164579.1827264377</v>
      </c>
    </row>
    <row r="46" spans="1:15" x14ac:dyDescent="0.25">
      <c r="A46" s="90">
        <v>1</v>
      </c>
      <c r="B46" s="66" t="s">
        <v>399</v>
      </c>
      <c r="C46" s="67" t="s">
        <v>466</v>
      </c>
      <c r="D46" s="77"/>
      <c r="E46" s="77"/>
      <c r="F46" s="78" t="s">
        <v>509</v>
      </c>
      <c r="G46" s="70">
        <v>30165413.760000005</v>
      </c>
      <c r="H46" s="71">
        <v>29569577.180000003</v>
      </c>
      <c r="I46" s="72">
        <v>29397864.200000003</v>
      </c>
      <c r="J46" s="73">
        <v>9386834.6482870411</v>
      </c>
      <c r="K46" s="74">
        <v>7906537.8674145238</v>
      </c>
      <c r="L46" s="75">
        <v>7561794.1934054829</v>
      </c>
      <c r="M46" s="76">
        <v>8343853.0206995914</v>
      </c>
      <c r="N46" s="74">
        <v>7028033.6599240182</v>
      </c>
      <c r="O46" s="74">
        <v>6721594.838582648</v>
      </c>
    </row>
    <row r="47" spans="1:15" x14ac:dyDescent="0.25">
      <c r="A47" s="90">
        <v>1</v>
      </c>
      <c r="B47" s="66" t="s">
        <v>400</v>
      </c>
      <c r="C47" s="67" t="s">
        <v>467</v>
      </c>
      <c r="D47" s="77"/>
      <c r="E47" s="77"/>
      <c r="F47" s="78" t="s">
        <v>509</v>
      </c>
      <c r="G47" s="70">
        <v>205380.98110010001</v>
      </c>
      <c r="H47" s="71">
        <v>28921243.880000006</v>
      </c>
      <c r="I47" s="72">
        <v>31089624.969999991</v>
      </c>
      <c r="J47" s="73">
        <v>47832.79349228544</v>
      </c>
      <c r="K47" s="74">
        <v>7832871.0163275031</v>
      </c>
      <c r="L47" s="75">
        <v>8306785.6191576682</v>
      </c>
      <c r="M47" s="76">
        <v>52060.071280241013</v>
      </c>
      <c r="N47" s="74">
        <v>8525109.9437608868</v>
      </c>
      <c r="O47" s="74">
        <v>9040907.2912033834</v>
      </c>
    </row>
    <row r="48" spans="1:15" x14ac:dyDescent="0.25">
      <c r="A48" s="90">
        <v>1</v>
      </c>
      <c r="B48" s="66" t="s">
        <v>401</v>
      </c>
      <c r="C48" s="67" t="s">
        <v>468</v>
      </c>
      <c r="D48" s="77"/>
      <c r="E48" s="77"/>
      <c r="F48" s="78" t="s">
        <v>509</v>
      </c>
      <c r="G48" s="70">
        <v>612460.31310350006</v>
      </c>
      <c r="H48" s="71">
        <v>56901393.760000013</v>
      </c>
      <c r="I48" s="72">
        <v>63308966.76000002</v>
      </c>
      <c r="J48" s="73">
        <v>144532.9354110198</v>
      </c>
      <c r="K48" s="74">
        <v>13382140.828881476</v>
      </c>
      <c r="L48" s="75">
        <v>14812239.048459545</v>
      </c>
      <c r="M48" s="76">
        <v>223902.40098869801</v>
      </c>
      <c r="N48" s="74">
        <v>20985486.181586824</v>
      </c>
      <c r="O48" s="74">
        <v>23248122.501196772</v>
      </c>
    </row>
    <row r="49" spans="1:15" x14ac:dyDescent="0.25">
      <c r="A49" s="90">
        <v>1</v>
      </c>
      <c r="B49" s="66" t="s">
        <v>402</v>
      </c>
      <c r="C49" s="67" t="s">
        <v>469</v>
      </c>
      <c r="D49" s="77"/>
      <c r="E49" s="77"/>
      <c r="F49" s="78" t="s">
        <v>509</v>
      </c>
      <c r="G49" s="70">
        <v>39179872.740000002</v>
      </c>
      <c r="H49" s="71">
        <v>21284565.219999999</v>
      </c>
      <c r="I49" s="72">
        <v>31450601.13000001</v>
      </c>
      <c r="J49" s="73">
        <v>11609574.879155444</v>
      </c>
      <c r="K49" s="74">
        <v>6033686.9908319935</v>
      </c>
      <c r="L49" s="75">
        <v>9079861.0999146253</v>
      </c>
      <c r="M49" s="76">
        <v>10455234.478875697</v>
      </c>
      <c r="N49" s="74">
        <v>5023331.4348550104</v>
      </c>
      <c r="O49" s="74">
        <v>7488658.2709794082</v>
      </c>
    </row>
    <row r="50" spans="1:15" x14ac:dyDescent="0.25">
      <c r="A50" s="90">
        <v>1</v>
      </c>
      <c r="B50" s="66" t="s">
        <v>403</v>
      </c>
      <c r="C50" s="67" t="s">
        <v>470</v>
      </c>
      <c r="D50" s="77"/>
      <c r="E50" s="77"/>
      <c r="F50" s="78" t="s">
        <v>509</v>
      </c>
      <c r="G50" s="70">
        <v>731664.34065000003</v>
      </c>
      <c r="H50" s="71">
        <v>73235053.559999987</v>
      </c>
      <c r="I50" s="72">
        <v>80512315.26000002</v>
      </c>
      <c r="J50" s="73">
        <v>222405.56515791127</v>
      </c>
      <c r="K50" s="74">
        <v>23396260.187189732</v>
      </c>
      <c r="L50" s="75">
        <v>26009259.20333479</v>
      </c>
      <c r="M50" s="76">
        <v>263587.3072296381</v>
      </c>
      <c r="N50" s="74">
        <v>27727266.6801253</v>
      </c>
      <c r="O50" s="74">
        <v>30823962.080273524</v>
      </c>
    </row>
    <row r="51" spans="1:15" x14ac:dyDescent="0.25">
      <c r="A51" s="90">
        <v>1</v>
      </c>
      <c r="B51" s="66" t="s">
        <v>404</v>
      </c>
      <c r="C51" s="67" t="s">
        <v>471</v>
      </c>
      <c r="D51" s="77"/>
      <c r="E51" s="77"/>
      <c r="F51" s="78" t="s">
        <v>509</v>
      </c>
      <c r="G51" s="70">
        <v>45236400.820000008</v>
      </c>
      <c r="H51" s="71">
        <v>46628798.620000005</v>
      </c>
      <c r="I51" s="72">
        <v>56186157.449999981</v>
      </c>
      <c r="J51" s="73">
        <v>16195969.37072671</v>
      </c>
      <c r="K51" s="74">
        <v>15890631.761972163</v>
      </c>
      <c r="L51" s="75">
        <v>19726108.855213545</v>
      </c>
      <c r="M51" s="76">
        <v>10685604.276976349</v>
      </c>
      <c r="N51" s="74">
        <v>10593729.797962343</v>
      </c>
      <c r="O51" s="74">
        <v>13150732.320501573</v>
      </c>
    </row>
    <row r="52" spans="1:15" x14ac:dyDescent="0.25">
      <c r="A52" s="90">
        <v>1</v>
      </c>
      <c r="B52" s="66" t="s">
        <v>405</v>
      </c>
      <c r="C52" s="67" t="s">
        <v>472</v>
      </c>
      <c r="D52" s="77"/>
      <c r="E52" s="77"/>
      <c r="F52" s="78" t="s">
        <v>509</v>
      </c>
      <c r="G52" s="70">
        <v>29614261.349999994</v>
      </c>
      <c r="H52" s="71">
        <v>26686250.649999999</v>
      </c>
      <c r="I52" s="72">
        <v>27200985.350000001</v>
      </c>
      <c r="J52" s="73">
        <v>8199848.0398432128</v>
      </c>
      <c r="K52" s="74">
        <v>7475905.5317991478</v>
      </c>
      <c r="L52" s="75">
        <v>7360289.8466996988</v>
      </c>
      <c r="M52" s="76">
        <v>7288680.5721120723</v>
      </c>
      <c r="N52" s="74">
        <v>6645230.0072469041</v>
      </c>
      <c r="O52" s="74">
        <v>6542479.8637330644</v>
      </c>
    </row>
    <row r="53" spans="1:15" x14ac:dyDescent="0.25">
      <c r="A53" s="90">
        <v>1</v>
      </c>
      <c r="B53" s="66" t="s">
        <v>406</v>
      </c>
      <c r="C53" s="67" t="s">
        <v>473</v>
      </c>
      <c r="D53" s="77"/>
      <c r="E53" s="77"/>
      <c r="F53" s="78" t="s">
        <v>509</v>
      </c>
      <c r="G53" s="70">
        <v>42220813.659999996</v>
      </c>
      <c r="H53" s="71">
        <v>36500193.189999998</v>
      </c>
      <c r="I53" s="72">
        <v>37650738.680000007</v>
      </c>
      <c r="J53" s="73">
        <v>15240701.192259192</v>
      </c>
      <c r="K53" s="74">
        <v>13223676.250270829</v>
      </c>
      <c r="L53" s="75">
        <v>13271113.651929682</v>
      </c>
      <c r="M53" s="76">
        <v>10160467.46150613</v>
      </c>
      <c r="N53" s="74">
        <v>8816333.2813845873</v>
      </c>
      <c r="O53" s="74">
        <v>8847410.1481349524</v>
      </c>
    </row>
    <row r="54" spans="1:15" x14ac:dyDescent="0.25">
      <c r="A54" s="90">
        <v>1</v>
      </c>
      <c r="B54" s="66" t="s">
        <v>407</v>
      </c>
      <c r="C54" s="67" t="s">
        <v>474</v>
      </c>
      <c r="D54" s="77"/>
      <c r="E54" s="77"/>
      <c r="F54" s="78" t="s">
        <v>509</v>
      </c>
      <c r="G54" s="70">
        <v>0</v>
      </c>
      <c r="H54" s="71">
        <v>33001568.889419999</v>
      </c>
      <c r="I54" s="72">
        <v>66839793.550000019</v>
      </c>
      <c r="J54" s="73">
        <v>0</v>
      </c>
      <c r="K54" s="74">
        <v>12310091.730408151</v>
      </c>
      <c r="L54" s="75">
        <v>25863857.048712261</v>
      </c>
      <c r="M54" s="76">
        <v>0</v>
      </c>
      <c r="N54" s="74">
        <v>10942303.760362796</v>
      </c>
      <c r="O54" s="74">
        <v>22990095.154410891</v>
      </c>
    </row>
    <row r="55" spans="1:15" x14ac:dyDescent="0.25">
      <c r="A55" s="90">
        <v>1</v>
      </c>
      <c r="B55" s="66" t="s">
        <v>408</v>
      </c>
      <c r="C55" s="67" t="s">
        <v>475</v>
      </c>
      <c r="D55" s="77"/>
      <c r="E55" s="77"/>
      <c r="F55" s="78" t="s">
        <v>509</v>
      </c>
      <c r="G55" s="70">
        <v>0</v>
      </c>
      <c r="H55" s="71">
        <v>15853278.590879999</v>
      </c>
      <c r="I55" s="72">
        <v>32812468.979999997</v>
      </c>
      <c r="J55" s="73">
        <v>0</v>
      </c>
      <c r="K55" s="74">
        <v>4750354.6512613129</v>
      </c>
      <c r="L55" s="75">
        <v>9664428.8459036406</v>
      </c>
      <c r="M55" s="76">
        <v>0</v>
      </c>
      <c r="N55" s="74">
        <v>4779990.5929375263</v>
      </c>
      <c r="O55" s="74">
        <v>9724722.1230666582</v>
      </c>
    </row>
    <row r="56" spans="1:15" x14ac:dyDescent="0.25">
      <c r="A56" s="90">
        <v>1</v>
      </c>
      <c r="B56" s="66" t="s">
        <v>409</v>
      </c>
      <c r="C56" s="67" t="s">
        <v>476</v>
      </c>
      <c r="D56" s="77"/>
      <c r="E56" s="77"/>
      <c r="F56" s="78" t="s">
        <v>509</v>
      </c>
      <c r="G56" s="70">
        <v>0</v>
      </c>
      <c r="H56" s="71">
        <v>15269364.433300003</v>
      </c>
      <c r="I56" s="72">
        <v>30418561.859999999</v>
      </c>
      <c r="J56" s="73">
        <v>0</v>
      </c>
      <c r="K56" s="74">
        <v>5135985.5089092236</v>
      </c>
      <c r="L56" s="75">
        <v>9908191.1680166908</v>
      </c>
      <c r="M56" s="76">
        <v>0</v>
      </c>
      <c r="N56" s="74">
        <v>3652126.5085040345</v>
      </c>
      <c r="O56" s="74">
        <v>7045574.3212804487</v>
      </c>
    </row>
    <row r="57" spans="1:15" x14ac:dyDescent="0.25">
      <c r="A57" s="90">
        <v>1</v>
      </c>
      <c r="B57" s="66" t="s">
        <v>410</v>
      </c>
      <c r="C57" s="67" t="s">
        <v>477</v>
      </c>
      <c r="D57" s="77"/>
      <c r="E57" s="77"/>
      <c r="F57" s="78" t="s">
        <v>509</v>
      </c>
      <c r="G57" s="70">
        <v>43300843.530000001</v>
      </c>
      <c r="H57" s="71">
        <v>44863841.859999992</v>
      </c>
      <c r="I57" s="72">
        <v>48653162.589999996</v>
      </c>
      <c r="J57" s="73">
        <v>16318864.103178265</v>
      </c>
      <c r="K57" s="74">
        <v>15477337.900654191</v>
      </c>
      <c r="L57" s="75">
        <v>15243712.815078232</v>
      </c>
      <c r="M57" s="76">
        <v>13962067.165621372</v>
      </c>
      <c r="N57" s="74">
        <v>14083246.515233316</v>
      </c>
      <c r="O57" s="74">
        <v>14691651.327665633</v>
      </c>
    </row>
    <row r="58" spans="1:15" x14ac:dyDescent="0.25">
      <c r="A58" s="90">
        <v>1</v>
      </c>
      <c r="B58" s="66" t="s">
        <v>411</v>
      </c>
      <c r="C58" s="67" t="s">
        <v>478</v>
      </c>
      <c r="D58" s="77"/>
      <c r="E58" s="77"/>
      <c r="F58" s="78" t="s">
        <v>509</v>
      </c>
      <c r="G58" s="70">
        <v>36827920.150000006</v>
      </c>
      <c r="H58" s="71">
        <v>39198438.110000007</v>
      </c>
      <c r="I58" s="72">
        <v>46585810.5</v>
      </c>
      <c r="J58" s="73">
        <v>13338527.718360977</v>
      </c>
      <c r="K58" s="74">
        <v>13822810.715695035</v>
      </c>
      <c r="L58" s="75">
        <v>16108468.865809539</v>
      </c>
      <c r="M58" s="76">
        <v>9081241.5450059399</v>
      </c>
      <c r="N58" s="74">
        <v>9298986.6668411717</v>
      </c>
      <c r="O58" s="74">
        <v>10739182.866081081</v>
      </c>
    </row>
    <row r="59" spans="1:15" x14ac:dyDescent="0.25">
      <c r="A59" s="90">
        <v>1</v>
      </c>
      <c r="B59" s="66" t="s">
        <v>412</v>
      </c>
      <c r="C59" s="67" t="s">
        <v>479</v>
      </c>
      <c r="D59" s="77"/>
      <c r="E59" s="77"/>
      <c r="F59" s="78" t="s">
        <v>509</v>
      </c>
      <c r="G59" s="70">
        <v>39409393.780000001</v>
      </c>
      <c r="H59" s="71">
        <v>39325004.719999999</v>
      </c>
      <c r="I59" s="72">
        <v>39354466.660000004</v>
      </c>
      <c r="J59" s="73">
        <v>9211709.2607598379</v>
      </c>
      <c r="K59" s="74">
        <v>9323591.2176166214</v>
      </c>
      <c r="L59" s="75">
        <v>9066693.0239782464</v>
      </c>
      <c r="M59" s="76">
        <v>12282279.014346452</v>
      </c>
      <c r="N59" s="74">
        <v>12431454.956822162</v>
      </c>
      <c r="O59" s="74">
        <v>12088924.031970995</v>
      </c>
    </row>
    <row r="60" spans="1:15" x14ac:dyDescent="0.25">
      <c r="A60" s="90">
        <v>1</v>
      </c>
      <c r="B60" s="66" t="s">
        <v>413</v>
      </c>
      <c r="C60" s="67" t="s">
        <v>480</v>
      </c>
      <c r="D60" s="77"/>
      <c r="E60" s="77"/>
      <c r="F60" s="78" t="s">
        <v>509</v>
      </c>
      <c r="G60" s="70">
        <v>36786071.799999997</v>
      </c>
      <c r="H60" s="71">
        <v>53378037.659999996</v>
      </c>
      <c r="I60" s="72">
        <v>81692126</v>
      </c>
      <c r="J60" s="73">
        <v>9819005.7021209467</v>
      </c>
      <c r="K60" s="74">
        <v>14265849.502019649</v>
      </c>
      <c r="L60" s="75">
        <v>21690801.993518941</v>
      </c>
      <c r="M60" s="76">
        <v>12697530.728787016</v>
      </c>
      <c r="N60" s="74">
        <v>17887238.5362278</v>
      </c>
      <c r="O60" s="74">
        <v>26832530.453792393</v>
      </c>
    </row>
    <row r="61" spans="1:15" x14ac:dyDescent="0.25">
      <c r="A61" s="90">
        <v>1</v>
      </c>
      <c r="B61" s="66" t="s">
        <v>414</v>
      </c>
      <c r="C61" s="67" t="s">
        <v>481</v>
      </c>
      <c r="D61" s="77"/>
      <c r="E61" s="77"/>
      <c r="F61" s="78" t="s">
        <v>509</v>
      </c>
      <c r="G61" s="70">
        <v>28409310.789999999</v>
      </c>
      <c r="H61" s="71">
        <v>27713120.669999991</v>
      </c>
      <c r="I61" s="72">
        <v>32516792.609999985</v>
      </c>
      <c r="J61" s="73">
        <v>6520634.8732342981</v>
      </c>
      <c r="K61" s="74">
        <v>6537379.5953006875</v>
      </c>
      <c r="L61" s="75">
        <v>7962004.2418902237</v>
      </c>
      <c r="M61" s="76">
        <v>6173089.9112319369</v>
      </c>
      <c r="N61" s="74">
        <v>6188942.1521354606</v>
      </c>
      <c r="O61" s="74">
        <v>7537635.3705294207</v>
      </c>
    </row>
    <row r="62" spans="1:15" x14ac:dyDescent="0.25">
      <c r="A62" s="90">
        <v>1</v>
      </c>
      <c r="B62" s="66" t="s">
        <v>415</v>
      </c>
      <c r="C62" s="67" t="s">
        <v>482</v>
      </c>
      <c r="D62" s="77"/>
      <c r="E62" s="77"/>
      <c r="F62" s="78" t="s">
        <v>509</v>
      </c>
      <c r="G62" s="70">
        <v>0</v>
      </c>
      <c r="H62" s="71">
        <v>18785201.032499991</v>
      </c>
      <c r="I62" s="72">
        <v>43047051.360000014</v>
      </c>
      <c r="J62" s="73">
        <v>0</v>
      </c>
      <c r="K62" s="74">
        <v>4631673.4464614326</v>
      </c>
      <c r="L62" s="75">
        <v>10422737.259063553</v>
      </c>
      <c r="M62" s="76">
        <v>0</v>
      </c>
      <c r="N62" s="74">
        <v>6333479.3470004564</v>
      </c>
      <c r="O62" s="74">
        <v>14252341.390761048</v>
      </c>
    </row>
    <row r="63" spans="1:15" x14ac:dyDescent="0.25">
      <c r="A63" s="90">
        <v>1</v>
      </c>
      <c r="B63" s="66" t="s">
        <v>416</v>
      </c>
      <c r="C63" s="67" t="s">
        <v>483</v>
      </c>
      <c r="D63" s="77"/>
      <c r="E63" s="77"/>
      <c r="F63" s="78" t="s">
        <v>509</v>
      </c>
      <c r="G63" s="70">
        <v>12604841.57</v>
      </c>
      <c r="H63" s="71">
        <v>11329785.969999999</v>
      </c>
      <c r="I63" s="72">
        <v>11977097.539999997</v>
      </c>
      <c r="J63" s="73">
        <v>6056523.7151090344</v>
      </c>
      <c r="K63" s="74">
        <v>5053661.1392750833</v>
      </c>
      <c r="L63" s="75">
        <v>5146334.3672887133</v>
      </c>
      <c r="M63" s="76">
        <v>2667942.619404335</v>
      </c>
      <c r="N63" s="74">
        <v>2228380.9152339236</v>
      </c>
      <c r="O63" s="74">
        <v>2277677.5276022642</v>
      </c>
    </row>
    <row r="64" spans="1:15" x14ac:dyDescent="0.25">
      <c r="A64" s="90">
        <v>1</v>
      </c>
      <c r="B64" s="66" t="s">
        <v>417</v>
      </c>
      <c r="C64" s="67" t="s">
        <v>484</v>
      </c>
      <c r="D64" s="77"/>
      <c r="E64" s="77"/>
      <c r="F64" s="78" t="s">
        <v>509</v>
      </c>
      <c r="G64" s="70">
        <v>182.53980000000001</v>
      </c>
      <c r="H64" s="71">
        <v>10333940.205050003</v>
      </c>
      <c r="I64" s="72">
        <v>14124389.26</v>
      </c>
      <c r="J64" s="73">
        <v>70.846234261989594</v>
      </c>
      <c r="K64" s="74">
        <v>4243000.9728621002</v>
      </c>
      <c r="L64" s="75">
        <v>5579476.5770451399</v>
      </c>
      <c r="M64" s="76">
        <v>45.34158992767334</v>
      </c>
      <c r="N64" s="74">
        <v>2715520.622631744</v>
      </c>
      <c r="O64" s="74">
        <v>3570865.0093088895</v>
      </c>
    </row>
    <row r="65" spans="1:15" x14ac:dyDescent="0.25">
      <c r="A65" s="90">
        <v>1</v>
      </c>
      <c r="B65" s="66" t="s">
        <v>418</v>
      </c>
      <c r="C65" s="67" t="s">
        <v>485</v>
      </c>
      <c r="D65" s="77"/>
      <c r="E65" s="77"/>
      <c r="F65" s="78" t="s">
        <v>509</v>
      </c>
      <c r="G65" s="70">
        <v>12720748.860000003</v>
      </c>
      <c r="H65" s="71">
        <v>13822086.140000002</v>
      </c>
      <c r="I65" s="72">
        <v>17360108.600000005</v>
      </c>
      <c r="J65" s="73">
        <v>5126670.2375670495</v>
      </c>
      <c r="K65" s="74">
        <v>5408447.2971594417</v>
      </c>
      <c r="L65" s="75">
        <v>6778219.4132332765</v>
      </c>
      <c r="M65" s="76">
        <v>1955962.3889454929</v>
      </c>
      <c r="N65" s="74">
        <v>2060362.0196933895</v>
      </c>
      <c r="O65" s="74">
        <v>2582324.1072125654</v>
      </c>
    </row>
    <row r="66" spans="1:15" x14ac:dyDescent="0.25">
      <c r="A66" s="90">
        <v>1</v>
      </c>
      <c r="B66" s="66" t="s">
        <v>419</v>
      </c>
      <c r="C66" s="67" t="s">
        <v>486</v>
      </c>
      <c r="D66" s="77"/>
      <c r="E66" s="77"/>
      <c r="F66" s="78" t="s">
        <v>509</v>
      </c>
      <c r="G66" s="70">
        <v>22353837.880000003</v>
      </c>
      <c r="H66" s="71">
        <v>22761404.719999999</v>
      </c>
      <c r="I66" s="72">
        <v>23982150.970000003</v>
      </c>
      <c r="J66" s="73">
        <v>7762520.2776617026</v>
      </c>
      <c r="K66" s="74">
        <v>7605334.0032199025</v>
      </c>
      <c r="L66" s="75">
        <v>7868501.0965026999</v>
      </c>
      <c r="M66" s="76">
        <v>6058315.9897461208</v>
      </c>
      <c r="N66" s="74">
        <v>5935638.806852336</v>
      </c>
      <c r="O66" s="74">
        <v>6141029.4985582614</v>
      </c>
    </row>
    <row r="67" spans="1:15" x14ac:dyDescent="0.25">
      <c r="A67" s="90">
        <v>1</v>
      </c>
      <c r="B67" s="66" t="s">
        <v>420</v>
      </c>
      <c r="C67" s="67" t="s">
        <v>487</v>
      </c>
      <c r="D67" s="77"/>
      <c r="E67" s="77"/>
      <c r="F67" s="78" t="s">
        <v>509</v>
      </c>
      <c r="G67" s="70">
        <v>12136454.960000005</v>
      </c>
      <c r="H67" s="71">
        <v>11671336.170000002</v>
      </c>
      <c r="I67" s="72">
        <v>11646785.475999998</v>
      </c>
      <c r="J67" s="73">
        <v>3327700.0197430179</v>
      </c>
      <c r="K67" s="74">
        <v>3012446.0321771814</v>
      </c>
      <c r="L67" s="75">
        <v>2903173.9617526522</v>
      </c>
      <c r="M67" s="76">
        <v>3803085.7368491632</v>
      </c>
      <c r="N67" s="74">
        <v>3442795.4653453506</v>
      </c>
      <c r="O67" s="74">
        <v>3317913.0991458893</v>
      </c>
    </row>
    <row r="68" spans="1:15" x14ac:dyDescent="0.25">
      <c r="A68" s="90">
        <v>1</v>
      </c>
      <c r="B68" s="66" t="s">
        <v>421</v>
      </c>
      <c r="C68" s="67" t="s">
        <v>488</v>
      </c>
      <c r="D68" s="77"/>
      <c r="E68" s="77"/>
      <c r="F68" s="78" t="s">
        <v>509</v>
      </c>
      <c r="G68" s="70">
        <v>52796412.850000024</v>
      </c>
      <c r="H68" s="71">
        <v>49067514.780000009</v>
      </c>
      <c r="I68" s="72">
        <v>43833201.56000001</v>
      </c>
      <c r="J68" s="73">
        <v>16658440.252589222</v>
      </c>
      <c r="K68" s="74">
        <v>14540040.423845928</v>
      </c>
      <c r="L68" s="75">
        <v>12980389.395129265</v>
      </c>
      <c r="M68" s="76">
        <v>14830964.390668122</v>
      </c>
      <c r="N68" s="74">
        <v>12929063.035610387</v>
      </c>
      <c r="O68" s="74">
        <v>11538142.790995378</v>
      </c>
    </row>
    <row r="69" spans="1:15" x14ac:dyDescent="0.25">
      <c r="A69" s="90">
        <v>1</v>
      </c>
      <c r="B69" s="66" t="s">
        <v>422</v>
      </c>
      <c r="C69" s="67" t="s">
        <v>489</v>
      </c>
      <c r="D69" s="77"/>
      <c r="E69" s="77"/>
      <c r="F69" s="78" t="s">
        <v>509</v>
      </c>
      <c r="G69" s="70">
        <v>38129589.799999997</v>
      </c>
      <c r="H69" s="71">
        <v>37362744.969999984</v>
      </c>
      <c r="I69" s="72">
        <v>37156333.730000004</v>
      </c>
      <c r="J69" s="73">
        <v>12087982.277623726</v>
      </c>
      <c r="K69" s="74">
        <v>11372316.044606501</v>
      </c>
      <c r="L69" s="75">
        <v>11122738.59903449</v>
      </c>
      <c r="M69" s="76">
        <v>10744873.13566553</v>
      </c>
      <c r="N69" s="74">
        <v>10108725.372983558</v>
      </c>
      <c r="O69" s="74">
        <v>9886878.7546973266</v>
      </c>
    </row>
    <row r="70" spans="1:15" x14ac:dyDescent="0.25">
      <c r="A70" s="90">
        <v>1</v>
      </c>
      <c r="B70" s="66" t="s">
        <v>423</v>
      </c>
      <c r="C70" s="67" t="s">
        <v>490</v>
      </c>
      <c r="D70" s="77"/>
      <c r="E70" s="77"/>
      <c r="F70" s="78" t="s">
        <v>509</v>
      </c>
      <c r="G70" s="70">
        <v>21796973.990000002</v>
      </c>
      <c r="H70" s="71">
        <v>22498220.329999991</v>
      </c>
      <c r="I70" s="72">
        <v>25731510.409999996</v>
      </c>
      <c r="J70" s="73">
        <v>7824370.2723392099</v>
      </c>
      <c r="K70" s="74">
        <v>7517176.6554528484</v>
      </c>
      <c r="L70" s="75">
        <v>8229138.9323209375</v>
      </c>
      <c r="M70" s="76">
        <v>4471068.7270509768</v>
      </c>
      <c r="N70" s="74">
        <v>4295529.5174016282</v>
      </c>
      <c r="O70" s="74">
        <v>4702365.1041833917</v>
      </c>
    </row>
    <row r="71" spans="1:15" x14ac:dyDescent="0.25">
      <c r="A71" s="90">
        <v>1</v>
      </c>
      <c r="B71" s="66" t="s">
        <v>424</v>
      </c>
      <c r="C71" s="67" t="s">
        <v>491</v>
      </c>
      <c r="D71" s="77"/>
      <c r="E71" s="77"/>
      <c r="F71" s="78" t="s">
        <v>509</v>
      </c>
      <c r="G71" s="70">
        <v>31945850.709999993</v>
      </c>
      <c r="H71" s="71">
        <v>32717996.069999997</v>
      </c>
      <c r="I71" s="72">
        <v>36750136.899999984</v>
      </c>
      <c r="J71" s="73">
        <v>11502639.984108018</v>
      </c>
      <c r="K71" s="74">
        <v>11016799.111448197</v>
      </c>
      <c r="L71" s="75">
        <v>11961118.843236763</v>
      </c>
      <c r="M71" s="76">
        <v>12691868.01733203</v>
      </c>
      <c r="N71" s="74">
        <v>12155797.320366543</v>
      </c>
      <c r="O71" s="74">
        <v>13197747.81334742</v>
      </c>
    </row>
    <row r="72" spans="1:15" x14ac:dyDescent="0.25">
      <c r="A72" s="90">
        <v>1</v>
      </c>
      <c r="B72" s="66" t="s">
        <v>425</v>
      </c>
      <c r="C72" s="67" t="s">
        <v>492</v>
      </c>
      <c r="D72" s="77"/>
      <c r="E72" s="77"/>
      <c r="F72" s="78" t="s">
        <v>509</v>
      </c>
      <c r="G72" s="70">
        <v>33669409.879999995</v>
      </c>
      <c r="H72" s="71">
        <v>35726733.459999993</v>
      </c>
      <c r="I72" s="72">
        <v>36161255.940000005</v>
      </c>
      <c r="J72" s="73">
        <v>11809877.322953895</v>
      </c>
      <c r="K72" s="74">
        <v>11656887.658520645</v>
      </c>
      <c r="L72" s="75">
        <v>11634459.30200745</v>
      </c>
      <c r="M72" s="76">
        <v>13030869.825613916</v>
      </c>
      <c r="N72" s="74">
        <v>12862062.957652703</v>
      </c>
      <c r="O72" s="74">
        <v>12837315.791688681</v>
      </c>
    </row>
    <row r="73" spans="1:15" x14ac:dyDescent="0.25">
      <c r="A73" s="90">
        <v>1</v>
      </c>
      <c r="B73" s="66" t="s">
        <v>426</v>
      </c>
      <c r="C73" s="67" t="s">
        <v>493</v>
      </c>
      <c r="D73" s="77"/>
      <c r="E73" s="77"/>
      <c r="F73" s="78" t="s">
        <v>509</v>
      </c>
      <c r="G73" s="70">
        <v>17419799.959999997</v>
      </c>
      <c r="H73" s="71">
        <v>20314007.040000003</v>
      </c>
      <c r="I73" s="72">
        <v>21855503.460000008</v>
      </c>
      <c r="J73" s="73">
        <v>5187976.903887229</v>
      </c>
      <c r="K73" s="74">
        <v>5575443.9579694839</v>
      </c>
      <c r="L73" s="75">
        <v>5740736.8439420667</v>
      </c>
      <c r="M73" s="76">
        <v>6640185.3023071829</v>
      </c>
      <c r="N73" s="74">
        <v>7136111.5550614186</v>
      </c>
      <c r="O73" s="74">
        <v>7347672.9091796596</v>
      </c>
    </row>
    <row r="74" spans="1:15" x14ac:dyDescent="0.25">
      <c r="A74" s="90">
        <v>1</v>
      </c>
      <c r="B74" s="66" t="s">
        <v>427</v>
      </c>
      <c r="C74" s="67" t="s">
        <v>494</v>
      </c>
      <c r="D74" s="77"/>
      <c r="E74" s="77"/>
      <c r="F74" s="78" t="s">
        <v>509</v>
      </c>
      <c r="G74" s="70">
        <v>67845499.969999999</v>
      </c>
      <c r="H74" s="71">
        <v>67707101.989999995</v>
      </c>
      <c r="I74" s="72">
        <v>76664706.000000015</v>
      </c>
      <c r="J74" s="73">
        <v>19155417.890066952</v>
      </c>
      <c r="K74" s="74">
        <v>18185572.66848873</v>
      </c>
      <c r="L74" s="75">
        <v>19595210.594815858</v>
      </c>
      <c r="M74" s="76">
        <v>27862426.02191557</v>
      </c>
      <c r="N74" s="74">
        <v>26451742.063256342</v>
      </c>
      <c r="O74" s="74">
        <v>28502124.501550335</v>
      </c>
    </row>
    <row r="75" spans="1:15" x14ac:dyDescent="0.25">
      <c r="A75" s="90">
        <v>1</v>
      </c>
      <c r="B75" s="66" t="s">
        <v>428</v>
      </c>
      <c r="C75" s="67" t="s">
        <v>495</v>
      </c>
      <c r="D75" s="77"/>
      <c r="E75" s="77"/>
      <c r="F75" s="78" t="s">
        <v>509</v>
      </c>
      <c r="G75" s="70">
        <v>94277130.199999988</v>
      </c>
      <c r="H75" s="71">
        <v>92801441.499999985</v>
      </c>
      <c r="I75" s="72">
        <v>105497370.39999998</v>
      </c>
      <c r="J75" s="73">
        <v>26770376.076775152</v>
      </c>
      <c r="K75" s="74">
        <v>25186855.553634822</v>
      </c>
      <c r="L75" s="75">
        <v>27918481.757891327</v>
      </c>
      <c r="M75" s="76">
        <v>27832129.821115915</v>
      </c>
      <c r="N75" s="74">
        <v>26198477.434226032</v>
      </c>
      <c r="O75" s="74">
        <v>29086951.758977886</v>
      </c>
    </row>
    <row r="76" spans="1:15" x14ac:dyDescent="0.25">
      <c r="A76" s="90">
        <v>1</v>
      </c>
      <c r="B76" s="66" t="s">
        <v>429</v>
      </c>
      <c r="C76" s="67" t="s">
        <v>496</v>
      </c>
      <c r="D76" s="77"/>
      <c r="E76" s="77"/>
      <c r="F76" s="78" t="s">
        <v>509</v>
      </c>
      <c r="G76" s="70">
        <v>19276656.900000002</v>
      </c>
      <c r="H76" s="71">
        <v>18082298.77</v>
      </c>
      <c r="I76" s="72">
        <v>17527511.030000005</v>
      </c>
      <c r="J76" s="73">
        <v>6883735.9843328362</v>
      </c>
      <c r="K76" s="74">
        <v>6576155.1342905257</v>
      </c>
      <c r="L76" s="75">
        <v>6411215.6583516477</v>
      </c>
      <c r="M76" s="76">
        <v>9067138.7449694052</v>
      </c>
      <c r="N76" s="74">
        <v>8665518.8068316337</v>
      </c>
      <c r="O76" s="74">
        <v>8446374.2017185371</v>
      </c>
    </row>
    <row r="77" spans="1:15" x14ac:dyDescent="0.25">
      <c r="A77" s="90">
        <v>1</v>
      </c>
      <c r="B77" s="66" t="s">
        <v>430</v>
      </c>
      <c r="C77" s="67" t="s">
        <v>497</v>
      </c>
      <c r="D77" s="77"/>
      <c r="E77" s="77"/>
      <c r="F77" s="78" t="s">
        <v>509</v>
      </c>
      <c r="G77" s="70">
        <v>16482439.590000005</v>
      </c>
      <c r="H77" s="71">
        <v>19152002.889999997</v>
      </c>
      <c r="I77" s="72">
        <v>21293001.610000003</v>
      </c>
      <c r="J77" s="73">
        <v>3908472.0653090179</v>
      </c>
      <c r="K77" s="74">
        <v>4842473.8448461415</v>
      </c>
      <c r="L77" s="75">
        <v>5397757.4357613558</v>
      </c>
      <c r="M77" s="76">
        <v>5190162.0101329014</v>
      </c>
      <c r="N77" s="74">
        <v>6427980.1592280818</v>
      </c>
      <c r="O77" s="74">
        <v>7161995.7726657633</v>
      </c>
    </row>
    <row r="78" spans="1:15" x14ac:dyDescent="0.25">
      <c r="A78" s="90">
        <v>1</v>
      </c>
      <c r="B78" s="66" t="s">
        <v>431</v>
      </c>
      <c r="C78" s="67" t="s">
        <v>498</v>
      </c>
      <c r="D78" s="77"/>
      <c r="E78" s="77"/>
      <c r="F78" s="78" t="s">
        <v>509</v>
      </c>
      <c r="G78" s="70">
        <v>10021568.329999996</v>
      </c>
      <c r="H78" s="71">
        <v>9634682.2499999981</v>
      </c>
      <c r="I78" s="72">
        <v>9130495.0300000012</v>
      </c>
      <c r="J78" s="73">
        <v>4679148.9474502122</v>
      </c>
      <c r="K78" s="74">
        <v>4545271.9582181796</v>
      </c>
      <c r="L78" s="75">
        <v>4430779.5553696565</v>
      </c>
      <c r="M78" s="76">
        <v>6183862.5354774259</v>
      </c>
      <c r="N78" s="74">
        <v>6002209.6615748396</v>
      </c>
      <c r="O78" s="74">
        <v>5849029.7573747952</v>
      </c>
    </row>
    <row r="79" spans="1:15" x14ac:dyDescent="0.25">
      <c r="A79" s="90">
        <v>1</v>
      </c>
      <c r="B79" s="66" t="s">
        <v>432</v>
      </c>
      <c r="C79" s="67" t="s">
        <v>499</v>
      </c>
      <c r="D79" s="77"/>
      <c r="E79" s="77"/>
      <c r="F79" s="78" t="s">
        <v>509</v>
      </c>
      <c r="G79" s="70">
        <v>11351745.93</v>
      </c>
      <c r="H79" s="71">
        <v>13862527.35</v>
      </c>
      <c r="I79" s="72">
        <v>14764230.15</v>
      </c>
      <c r="J79" s="73">
        <v>5962293.2934331344</v>
      </c>
      <c r="K79" s="74">
        <v>7650076.3910399508</v>
      </c>
      <c r="L79" s="75">
        <v>8320108.055712196</v>
      </c>
      <c r="M79" s="76">
        <v>7159307.9148004903</v>
      </c>
      <c r="N79" s="74">
        <v>8838916.0358982105</v>
      </c>
      <c r="O79" s="74">
        <v>9444570.2434170283</v>
      </c>
    </row>
    <row r="80" spans="1:15" x14ac:dyDescent="0.25">
      <c r="A80" s="90">
        <v>1</v>
      </c>
      <c r="B80" s="66" t="s">
        <v>433</v>
      </c>
      <c r="C80" s="67" t="s">
        <v>500</v>
      </c>
      <c r="D80" s="77"/>
      <c r="E80" s="77"/>
      <c r="F80" s="78" t="s">
        <v>509</v>
      </c>
      <c r="G80" s="70">
        <v>74248602.799999982</v>
      </c>
      <c r="H80" s="71">
        <v>75894681.500000015</v>
      </c>
      <c r="I80" s="72">
        <v>77147095.200000018</v>
      </c>
      <c r="J80" s="73">
        <v>33966569.546537474</v>
      </c>
      <c r="K80" s="74">
        <v>34798093.573516928</v>
      </c>
      <c r="L80" s="75">
        <v>34973262.642849937</v>
      </c>
      <c r="M80" s="76">
        <v>32536042.765049808</v>
      </c>
      <c r="N80" s="74">
        <v>33158633.335113894</v>
      </c>
      <c r="O80" s="74">
        <v>33209104.925911434</v>
      </c>
    </row>
    <row r="81" spans="1:15" x14ac:dyDescent="0.25">
      <c r="A81" s="90">
        <v>1</v>
      </c>
      <c r="B81" s="66" t="s">
        <v>434</v>
      </c>
      <c r="C81" s="67" t="s">
        <v>501</v>
      </c>
      <c r="D81" s="77"/>
      <c r="E81" s="77"/>
      <c r="F81" s="78" t="s">
        <v>509</v>
      </c>
      <c r="G81" s="70">
        <v>9098912.4289999958</v>
      </c>
      <c r="H81" s="71">
        <v>9140536.1600000001</v>
      </c>
      <c r="I81" s="72">
        <v>8385254.5099999998</v>
      </c>
      <c r="J81" s="73">
        <v>5378212.9504682664</v>
      </c>
      <c r="K81" s="74">
        <v>5333826.5323093999</v>
      </c>
      <c r="L81" s="75">
        <v>4672571.5613559112</v>
      </c>
      <c r="M81" s="76">
        <v>3173866.6910941466</v>
      </c>
      <c r="N81" s="74">
        <v>3202520.2163921329</v>
      </c>
      <c r="O81" s="74">
        <v>2887852.7751233121</v>
      </c>
    </row>
    <row r="82" spans="1:15" x14ac:dyDescent="0.25">
      <c r="A82" s="90">
        <v>1</v>
      </c>
      <c r="B82" s="66" t="s">
        <v>435</v>
      </c>
      <c r="C82" s="67" t="s">
        <v>502</v>
      </c>
      <c r="D82" s="77"/>
      <c r="E82" s="77"/>
      <c r="F82" s="78" t="s">
        <v>509</v>
      </c>
      <c r="G82" s="70">
        <v>7462148.8599999975</v>
      </c>
      <c r="H82" s="71">
        <v>6995668.8720000014</v>
      </c>
      <c r="I82" s="72">
        <v>2571228.895</v>
      </c>
      <c r="J82" s="73">
        <v>4606981.194660522</v>
      </c>
      <c r="K82" s="74">
        <v>4338076.0062640607</v>
      </c>
      <c r="L82" s="75">
        <v>1625216.6069371821</v>
      </c>
      <c r="M82" s="76">
        <v>2632560.6826631567</v>
      </c>
      <c r="N82" s="74">
        <v>2478900.5750080342</v>
      </c>
      <c r="O82" s="74">
        <v>928695.20396410441</v>
      </c>
    </row>
    <row r="83" spans="1:15" x14ac:dyDescent="0.25">
      <c r="A83" s="90">
        <v>1</v>
      </c>
      <c r="B83" s="66" t="s">
        <v>436</v>
      </c>
      <c r="C83" s="67" t="s">
        <v>503</v>
      </c>
      <c r="D83" s="77"/>
      <c r="E83" s="77"/>
      <c r="F83" s="78" t="s">
        <v>509</v>
      </c>
      <c r="G83" s="70">
        <v>952366.39486699982</v>
      </c>
      <c r="H83" s="71">
        <v>5465213.6729999986</v>
      </c>
      <c r="I83" s="72">
        <v>7492208.5140000014</v>
      </c>
      <c r="J83" s="73">
        <v>289371.55815152451</v>
      </c>
      <c r="K83" s="74">
        <v>1597955.6273967733</v>
      </c>
      <c r="L83" s="75">
        <v>2136194.4324052832</v>
      </c>
      <c r="M83" s="76">
        <v>181560.77183556557</v>
      </c>
      <c r="N83" s="74">
        <v>1002607.3706843856</v>
      </c>
      <c r="O83" s="74">
        <v>1340315.2418153363</v>
      </c>
    </row>
    <row r="84" spans="1:15" x14ac:dyDescent="0.25">
      <c r="A84" s="90">
        <v>1</v>
      </c>
      <c r="B84" s="66" t="s">
        <v>437</v>
      </c>
      <c r="C84" s="67" t="s">
        <v>504</v>
      </c>
      <c r="D84" s="77"/>
      <c r="E84" s="77"/>
      <c r="F84" s="78" t="s">
        <v>509</v>
      </c>
      <c r="G84" s="70">
        <v>2782449.2460000007</v>
      </c>
      <c r="H84" s="71">
        <v>2762898.4210000001</v>
      </c>
      <c r="I84" s="72">
        <v>2433481.679</v>
      </c>
      <c r="J84" s="73">
        <v>1326484.4841469477</v>
      </c>
      <c r="K84" s="74">
        <v>1328162.119704992</v>
      </c>
      <c r="L84" s="75">
        <v>1166795.2806424072</v>
      </c>
      <c r="M84" s="76">
        <v>1768645.9788625957</v>
      </c>
      <c r="N84" s="74">
        <v>1770882.8262733226</v>
      </c>
      <c r="O84" s="74">
        <v>1555727.0408565439</v>
      </c>
    </row>
    <row r="85" spans="1:15" ht="15.75" thickBot="1" x14ac:dyDescent="0.3">
      <c r="A85" s="90">
        <v>1</v>
      </c>
      <c r="B85" s="80" t="s">
        <v>438</v>
      </c>
      <c r="C85" s="81" t="s">
        <v>505</v>
      </c>
      <c r="D85" s="82"/>
      <c r="E85" s="82"/>
      <c r="F85" s="83" t="s">
        <v>509</v>
      </c>
      <c r="G85" s="84">
        <v>236906.59693799994</v>
      </c>
      <c r="H85" s="85">
        <v>2145180.685000001</v>
      </c>
      <c r="I85" s="86">
        <v>2901457.8610000005</v>
      </c>
      <c r="J85" s="87">
        <v>34231.013751447201</v>
      </c>
      <c r="K85" s="88">
        <v>294776.02176252013</v>
      </c>
      <c r="L85" s="89">
        <v>388735.18688088469</v>
      </c>
      <c r="M85" s="76">
        <v>45641.351668596275</v>
      </c>
      <c r="N85" s="74">
        <v>393034.69568335998</v>
      </c>
      <c r="O85" s="74">
        <v>518313.58250784635</v>
      </c>
    </row>
  </sheetData>
  <autoFilter ref="A6:O6" xr:uid="{D633C0C0-AB5E-48B6-9B49-31A92A17790D}"/>
  <mergeCells count="3">
    <mergeCell ref="G5:I5"/>
    <mergeCell ref="J5:L5"/>
    <mergeCell ref="M5:O5"/>
  </mergeCells>
  <conditionalFormatting sqref="C7:C85">
    <cfRule type="duplicateValues" dxfId="0" priority="1"/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17"/>
  <sheetViews>
    <sheetView zoomScale="115" zoomScaleNormal="115" workbookViewId="0">
      <pane ySplit="6" topLeftCell="A7" activePane="bottomLeft" state="frozen"/>
      <selection pane="bottomLeft" activeCell="D8" sqref="D8"/>
    </sheetView>
  </sheetViews>
  <sheetFormatPr defaultRowHeight="15" x14ac:dyDescent="0.25"/>
  <cols>
    <col min="1" max="1" width="36.28515625" bestFit="1" customWidth="1"/>
    <col min="2" max="2" width="13.28515625" bestFit="1" customWidth="1"/>
    <col min="3" max="3" width="8.85546875" bestFit="1" customWidth="1"/>
    <col min="4" max="4" width="10.7109375" bestFit="1" customWidth="1"/>
    <col min="5" max="7" width="16.28515625" bestFit="1" customWidth="1"/>
    <col min="8" max="13" width="14.28515625" bestFit="1" customWidth="1"/>
  </cols>
  <sheetData>
    <row r="3" spans="1:13" ht="18.75" x14ac:dyDescent="0.3">
      <c r="A3" s="42" t="s">
        <v>207</v>
      </c>
    </row>
    <row r="4" spans="1:13" ht="15.75" thickBot="1" x14ac:dyDescent="0.3">
      <c r="E4" s="43" t="s">
        <v>283</v>
      </c>
    </row>
    <row r="5" spans="1:13" ht="15.75" thickBot="1" x14ac:dyDescent="0.3">
      <c r="E5" s="52" t="s">
        <v>175</v>
      </c>
      <c r="F5" s="53"/>
      <c r="G5" s="54"/>
      <c r="H5" s="52" t="s">
        <v>191</v>
      </c>
      <c r="I5" s="53"/>
      <c r="J5" s="54"/>
      <c r="K5" s="52" t="s">
        <v>183</v>
      </c>
      <c r="L5" s="53"/>
      <c r="M5" s="54"/>
    </row>
    <row r="6" spans="1:13" ht="15.75" thickBot="1" x14ac:dyDescent="0.3">
      <c r="A6" s="36" t="s">
        <v>0</v>
      </c>
      <c r="B6" s="37" t="s">
        <v>1</v>
      </c>
      <c r="C6" s="37" t="s">
        <v>321</v>
      </c>
      <c r="D6" s="38" t="s">
        <v>322</v>
      </c>
      <c r="E6" s="14" t="s">
        <v>2</v>
      </c>
      <c r="F6" s="12" t="s">
        <v>3</v>
      </c>
      <c r="G6" s="12" t="s">
        <v>323</v>
      </c>
      <c r="H6" s="14" t="s">
        <v>2</v>
      </c>
      <c r="I6" s="12" t="s">
        <v>3</v>
      </c>
      <c r="J6" s="12" t="s">
        <v>323</v>
      </c>
      <c r="K6" s="14" t="s">
        <v>2</v>
      </c>
      <c r="L6" s="12" t="s">
        <v>3</v>
      </c>
      <c r="M6" s="13" t="s">
        <v>323</v>
      </c>
    </row>
    <row r="7" spans="1:13" x14ac:dyDescent="0.25">
      <c r="A7" s="27" t="s">
        <v>351</v>
      </c>
      <c r="B7" s="28" t="s">
        <v>362</v>
      </c>
      <c r="C7" s="29"/>
      <c r="D7" s="29"/>
      <c r="E7" s="39">
        <v>11453759.966698388</v>
      </c>
      <c r="F7" s="30">
        <v>8158693.7154052109</v>
      </c>
      <c r="G7" s="30">
        <v>13865594.16554065</v>
      </c>
      <c r="H7" s="31">
        <v>5347059.9755925415</v>
      </c>
      <c r="I7" s="32">
        <v>3884613.2131144712</v>
      </c>
      <c r="J7" s="32">
        <v>6412974.0943595655</v>
      </c>
      <c r="K7" s="31">
        <v>2138823.9902370195</v>
      </c>
      <c r="L7" s="32">
        <v>1554661.7352457875</v>
      </c>
      <c r="M7" s="33">
        <v>2716679.4925032211</v>
      </c>
    </row>
    <row r="8" spans="1:13" ht="15.75" customHeight="1" x14ac:dyDescent="0.25">
      <c r="A8" s="25" t="s">
        <v>352</v>
      </c>
      <c r="B8" s="34" t="s">
        <v>363</v>
      </c>
      <c r="C8" s="15"/>
      <c r="D8" s="15"/>
      <c r="E8" s="40">
        <v>490.4157953667638</v>
      </c>
      <c r="F8" s="16">
        <v>461.6292907762525</v>
      </c>
      <c r="G8" s="16">
        <v>1263.3106892704959</v>
      </c>
      <c r="H8" s="17">
        <v>167.68880594462146</v>
      </c>
      <c r="I8" s="18">
        <v>159.82066081975677</v>
      </c>
      <c r="J8" s="18">
        <v>431.73904505631856</v>
      </c>
      <c r="K8" s="17">
        <v>199.01387417316425</v>
      </c>
      <c r="L8" s="18">
        <v>189.00859606266005</v>
      </c>
      <c r="M8" s="19">
        <v>526.48095715045849</v>
      </c>
    </row>
    <row r="9" spans="1:13" x14ac:dyDescent="0.25">
      <c r="A9" s="25" t="s">
        <v>353</v>
      </c>
      <c r="B9" s="34" t="s">
        <v>364</v>
      </c>
      <c r="C9" s="15"/>
      <c r="D9" s="15"/>
      <c r="E9" s="40">
        <v>33274331.046616301</v>
      </c>
      <c r="F9" s="16">
        <v>30772878.484133977</v>
      </c>
      <c r="G9" s="16">
        <v>28372781.22473076</v>
      </c>
      <c r="H9" s="17">
        <v>13234361.078301923</v>
      </c>
      <c r="I9" s="18">
        <v>12879313.160873463</v>
      </c>
      <c r="J9" s="18">
        <v>11864520.604449904</v>
      </c>
      <c r="K9" s="17">
        <v>11664788.241956405</v>
      </c>
      <c r="L9" s="18">
        <v>11041481.034531152</v>
      </c>
      <c r="M9" s="19">
        <v>10299925.204020379</v>
      </c>
    </row>
    <row r="10" spans="1:13" x14ac:dyDescent="0.25">
      <c r="A10" s="25" t="s">
        <v>354</v>
      </c>
      <c r="B10" s="34" t="s">
        <v>365</v>
      </c>
      <c r="C10" s="15"/>
      <c r="D10" s="15"/>
      <c r="E10" s="40">
        <v>24466105.453692861</v>
      </c>
      <c r="F10" s="16">
        <v>24909169.740842566</v>
      </c>
      <c r="G10" s="16">
        <v>28481140.2695034</v>
      </c>
      <c r="H10" s="17">
        <v>10574268.60575668</v>
      </c>
      <c r="I10" s="18">
        <v>11223791.068973787</v>
      </c>
      <c r="J10" s="18">
        <v>13149021.190602096</v>
      </c>
      <c r="K10" s="17">
        <v>6340571.4991324348</v>
      </c>
      <c r="L10" s="18">
        <v>6729310.9022108987</v>
      </c>
      <c r="M10" s="19">
        <v>7887602.8109482983</v>
      </c>
    </row>
    <row r="11" spans="1:13" x14ac:dyDescent="0.25">
      <c r="A11" s="25" t="s">
        <v>355</v>
      </c>
      <c r="B11" s="34" t="s">
        <v>366</v>
      </c>
      <c r="C11" s="15"/>
      <c r="D11" s="15"/>
      <c r="E11" s="40">
        <v>134.23723659873002</v>
      </c>
      <c r="F11" s="16">
        <v>250.18636153936387</v>
      </c>
      <c r="G11" s="16">
        <v>82.380109285116148</v>
      </c>
      <c r="H11" s="17">
        <v>30.074425779283025</v>
      </c>
      <c r="I11" s="18">
        <v>33.318463712930665</v>
      </c>
      <c r="J11" s="18">
        <v>13.006828941404805</v>
      </c>
      <c r="K11" s="17">
        <v>37.014677882194498</v>
      </c>
      <c r="L11" s="18">
        <v>41.007339954376199</v>
      </c>
      <c r="M11" s="19">
        <v>16.008404850959764</v>
      </c>
    </row>
    <row r="12" spans="1:13" x14ac:dyDescent="0.25">
      <c r="A12" s="25" t="s">
        <v>356</v>
      </c>
      <c r="B12" s="34" t="s">
        <v>367</v>
      </c>
      <c r="C12" s="15"/>
      <c r="D12" s="15"/>
      <c r="E12" s="40">
        <v>22992451.062547017</v>
      </c>
      <c r="F12" s="16">
        <v>23471608.374691442</v>
      </c>
      <c r="G12" s="16">
        <v>20044768.08990686</v>
      </c>
      <c r="H12" s="17">
        <v>9025173.6329916809</v>
      </c>
      <c r="I12" s="18">
        <v>9225250.8188117184</v>
      </c>
      <c r="J12" s="18">
        <v>7911294.0820619306</v>
      </c>
      <c r="K12" s="17">
        <v>8022376.5626592655</v>
      </c>
      <c r="L12" s="18">
        <v>8200222.9500548635</v>
      </c>
      <c r="M12" s="19">
        <v>7032261.4062772729</v>
      </c>
    </row>
    <row r="13" spans="1:13" x14ac:dyDescent="0.25">
      <c r="A13" s="25" t="s">
        <v>357</v>
      </c>
      <c r="B13" s="34" t="s">
        <v>368</v>
      </c>
      <c r="C13" s="15"/>
      <c r="D13" s="15"/>
      <c r="E13" s="40">
        <v>11840971.33199825</v>
      </c>
      <c r="F13" s="16">
        <v>12639547.787348213</v>
      </c>
      <c r="G13" s="16">
        <v>18987306.351041213</v>
      </c>
      <c r="H13" s="17">
        <v>4634909.3991196258</v>
      </c>
      <c r="I13" s="18">
        <v>5205804.3443491599</v>
      </c>
      <c r="J13" s="18">
        <v>8092685.2967791306</v>
      </c>
      <c r="K13" s="17">
        <v>2990264.1284642746</v>
      </c>
      <c r="L13" s="18">
        <v>3358583.447967208</v>
      </c>
      <c r="M13" s="19">
        <v>5221087.2882446107</v>
      </c>
    </row>
    <row r="14" spans="1:13" x14ac:dyDescent="0.25">
      <c r="A14" s="25" t="s">
        <v>358</v>
      </c>
      <c r="B14" s="34" t="s">
        <v>369</v>
      </c>
      <c r="C14" s="15"/>
      <c r="D14" s="15"/>
      <c r="E14" s="40">
        <v>284.19975751399977</v>
      </c>
      <c r="F14" s="16">
        <v>459.22252841949455</v>
      </c>
      <c r="G14" s="16">
        <v>162.11558792591092</v>
      </c>
      <c r="H14" s="17">
        <v>100.64183694022883</v>
      </c>
      <c r="I14" s="18">
        <v>162.23148483552933</v>
      </c>
      <c r="J14" s="18">
        <v>52.570109112417661</v>
      </c>
      <c r="K14" s="17">
        <v>111.04693472385394</v>
      </c>
      <c r="L14" s="18">
        <v>179.00417613983149</v>
      </c>
      <c r="M14" s="19">
        <v>58.005195975303643</v>
      </c>
    </row>
    <row r="15" spans="1:13" x14ac:dyDescent="0.25">
      <c r="A15" s="25" t="s">
        <v>359</v>
      </c>
      <c r="B15" s="34" t="s">
        <v>370</v>
      </c>
      <c r="C15" s="15"/>
      <c r="D15" s="15"/>
      <c r="E15" s="40">
        <v>8935165.0648850575</v>
      </c>
      <c r="F15" s="16">
        <v>8662385.2628671844</v>
      </c>
      <c r="G15" s="16">
        <v>10443740.305039966</v>
      </c>
      <c r="H15" s="17">
        <v>3030397.9046812728</v>
      </c>
      <c r="I15" s="18">
        <v>2943167.8749398058</v>
      </c>
      <c r="J15" s="18">
        <v>3535796.6929834741</v>
      </c>
      <c r="K15" s="17">
        <v>2308874.5940428744</v>
      </c>
      <c r="L15" s="18">
        <v>2242413.6190017564</v>
      </c>
      <c r="M15" s="19">
        <v>2693940.3375112182</v>
      </c>
    </row>
    <row r="16" spans="1:13" x14ac:dyDescent="0.25">
      <c r="A16" s="25" t="s">
        <v>360</v>
      </c>
      <c r="B16" s="34" t="s">
        <v>371</v>
      </c>
      <c r="C16" s="15"/>
      <c r="D16" s="15"/>
      <c r="E16" s="40">
        <v>13.134005074501026</v>
      </c>
      <c r="F16" s="16">
        <v>4.5000000000000009</v>
      </c>
      <c r="G16" s="16">
        <v>890233.77031839092</v>
      </c>
      <c r="H16" s="17">
        <v>4.5763572752475703</v>
      </c>
      <c r="I16" s="18">
        <v>1.5250000000000001</v>
      </c>
      <c r="J16" s="18">
        <v>303249.81050219754</v>
      </c>
      <c r="K16" s="17">
        <v>3.0008900165557795</v>
      </c>
      <c r="L16" s="18">
        <v>0.99999999999999989</v>
      </c>
      <c r="M16" s="19">
        <v>198852.33475553972</v>
      </c>
    </row>
    <row r="17" spans="1:13" ht="15.75" thickBot="1" x14ac:dyDescent="0.3">
      <c r="A17" s="26" t="s">
        <v>361</v>
      </c>
      <c r="B17" s="35" t="s">
        <v>372</v>
      </c>
      <c r="C17" s="20"/>
      <c r="D17" s="20"/>
      <c r="E17" s="41">
        <v>8266605.6766004693</v>
      </c>
      <c r="F17" s="21">
        <v>10285480.514062317</v>
      </c>
      <c r="G17" s="21">
        <v>12171028.539977156</v>
      </c>
      <c r="H17" s="22">
        <v>3374281.8927412545</v>
      </c>
      <c r="I17" s="23">
        <v>4215469.301211305</v>
      </c>
      <c r="J17" s="23">
        <v>4870530.2999322955</v>
      </c>
      <c r="K17" s="22">
        <v>1928161.0815664302</v>
      </c>
      <c r="L17" s="23">
        <v>2408839.6006921744</v>
      </c>
      <c r="M17" s="24">
        <v>2783160.1713898834</v>
      </c>
    </row>
  </sheetData>
  <mergeCells count="3">
    <mergeCell ref="K5:M5"/>
    <mergeCell ref="E5:G5"/>
    <mergeCell ref="H5:J5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5"/>
  <sheetViews>
    <sheetView workbookViewId="0">
      <pane ySplit="1" topLeftCell="A2" activePane="bottomLeft" state="frozen"/>
      <selection pane="bottomLeft" activeCell="F1" sqref="F1:H1048576"/>
    </sheetView>
  </sheetViews>
  <sheetFormatPr defaultRowHeight="15" x14ac:dyDescent="0.25"/>
  <cols>
    <col min="1" max="1" width="41.5703125" customWidth="1"/>
    <col min="2" max="2" width="21" customWidth="1"/>
    <col min="3" max="3" width="14" customWidth="1"/>
    <col min="4" max="4" width="29.7109375" bestFit="1" customWidth="1"/>
  </cols>
  <sheetData>
    <row r="1" spans="1:3" x14ac:dyDescent="0.25">
      <c r="A1" s="3" t="s">
        <v>204</v>
      </c>
      <c r="B1" s="4" t="s">
        <v>138</v>
      </c>
      <c r="C1" s="3" t="s">
        <v>1</v>
      </c>
    </row>
    <row r="2" spans="1:3" x14ac:dyDescent="0.25">
      <c r="A2" s="5" t="s">
        <v>137</v>
      </c>
      <c r="B2" s="6" t="s">
        <v>4</v>
      </c>
      <c r="C2" s="5" t="s">
        <v>139</v>
      </c>
    </row>
    <row r="3" spans="1:3" x14ac:dyDescent="0.25">
      <c r="A3" s="2" t="str">
        <f t="shared" ref="A3:A9" si="0">A2</f>
        <v>ACV Weighted Distribution</v>
      </c>
      <c r="B3" s="1" t="s">
        <v>140</v>
      </c>
      <c r="C3" s="2" t="s">
        <v>141</v>
      </c>
    </row>
    <row r="4" spans="1:3" x14ac:dyDescent="0.25">
      <c r="A4" s="2" t="str">
        <f t="shared" si="0"/>
        <v>ACV Weighted Distribution</v>
      </c>
      <c r="B4" s="1" t="s">
        <v>142</v>
      </c>
      <c r="C4" s="2" t="s">
        <v>143</v>
      </c>
    </row>
    <row r="5" spans="1:3" x14ac:dyDescent="0.25">
      <c r="A5" s="2" t="str">
        <f t="shared" si="0"/>
        <v>ACV Weighted Distribution</v>
      </c>
      <c r="B5" s="1" t="s">
        <v>144</v>
      </c>
      <c r="C5" s="2" t="s">
        <v>145</v>
      </c>
    </row>
    <row r="6" spans="1:3" x14ac:dyDescent="0.25">
      <c r="A6" s="2" t="str">
        <f t="shared" si="0"/>
        <v>ACV Weighted Distribution</v>
      </c>
      <c r="B6" s="1" t="s">
        <v>146</v>
      </c>
      <c r="C6" s="2" t="s">
        <v>147</v>
      </c>
    </row>
    <row r="7" spans="1:3" x14ac:dyDescent="0.25">
      <c r="A7" s="2" t="str">
        <f t="shared" si="0"/>
        <v>ACV Weighted Distribution</v>
      </c>
      <c r="B7" s="1" t="s">
        <v>148</v>
      </c>
      <c r="C7" s="7" t="s">
        <v>205</v>
      </c>
    </row>
    <row r="8" spans="1:3" x14ac:dyDescent="0.25">
      <c r="A8" s="2" t="str">
        <f t="shared" si="0"/>
        <v>ACV Weighted Distribution</v>
      </c>
      <c r="B8" s="1" t="s">
        <v>149</v>
      </c>
      <c r="C8" s="2" t="s">
        <v>150</v>
      </c>
    </row>
    <row r="9" spans="1:3" x14ac:dyDescent="0.25">
      <c r="A9" s="2" t="str">
        <f t="shared" si="0"/>
        <v>ACV Weighted Distribution</v>
      </c>
      <c r="B9" s="1" t="s">
        <v>70</v>
      </c>
      <c r="C9" s="7" t="s">
        <v>205</v>
      </c>
    </row>
    <row r="10" spans="1:3" x14ac:dyDescent="0.25">
      <c r="A10" s="2" t="s">
        <v>151</v>
      </c>
      <c r="B10" s="1" t="s">
        <v>4</v>
      </c>
      <c r="C10" s="7" t="s">
        <v>205</v>
      </c>
    </row>
    <row r="11" spans="1:3" x14ac:dyDescent="0.25">
      <c r="A11" s="2" t="str">
        <f t="shared" ref="A11:A17" si="1">A10</f>
        <v>Avg Prc/Unit</v>
      </c>
      <c r="B11" s="1" t="s">
        <v>140</v>
      </c>
      <c r="C11" s="2" t="s">
        <v>152</v>
      </c>
    </row>
    <row r="12" spans="1:3" x14ac:dyDescent="0.25">
      <c r="A12" s="2" t="str">
        <f t="shared" si="1"/>
        <v>Avg Prc/Unit</v>
      </c>
      <c r="B12" s="1" t="s">
        <v>142</v>
      </c>
      <c r="C12" s="7" t="s">
        <v>205</v>
      </c>
    </row>
    <row r="13" spans="1:3" x14ac:dyDescent="0.25">
      <c r="A13" s="2" t="str">
        <f t="shared" si="1"/>
        <v>Avg Prc/Unit</v>
      </c>
      <c r="B13" s="1" t="s">
        <v>144</v>
      </c>
      <c r="C13" s="7" t="s">
        <v>205</v>
      </c>
    </row>
    <row r="14" spans="1:3" x14ac:dyDescent="0.25">
      <c r="A14" s="2" t="str">
        <f t="shared" si="1"/>
        <v>Avg Prc/Unit</v>
      </c>
      <c r="B14" s="1" t="s">
        <v>146</v>
      </c>
      <c r="C14" s="7" t="s">
        <v>205</v>
      </c>
    </row>
    <row r="15" spans="1:3" x14ac:dyDescent="0.25">
      <c r="A15" s="2" t="str">
        <f t="shared" si="1"/>
        <v>Avg Prc/Unit</v>
      </c>
      <c r="B15" s="1" t="s">
        <v>148</v>
      </c>
      <c r="C15" s="7" t="s">
        <v>205</v>
      </c>
    </row>
    <row r="16" spans="1:3" x14ac:dyDescent="0.25">
      <c r="A16" s="2" t="str">
        <f t="shared" si="1"/>
        <v>Avg Prc/Unit</v>
      </c>
      <c r="B16" s="1" t="s">
        <v>149</v>
      </c>
      <c r="C16" s="7" t="s">
        <v>205</v>
      </c>
    </row>
    <row r="17" spans="1:3" x14ac:dyDescent="0.25">
      <c r="A17" s="2" t="str">
        <f t="shared" si="1"/>
        <v>Avg Prc/Unit</v>
      </c>
      <c r="B17" s="1" t="s">
        <v>70</v>
      </c>
      <c r="C17" s="7" t="s">
        <v>205</v>
      </c>
    </row>
    <row r="18" spans="1:3" x14ac:dyDescent="0.25">
      <c r="A18" s="2" t="s">
        <v>153</v>
      </c>
      <c r="B18" s="1" t="s">
        <v>4</v>
      </c>
      <c r="C18" s="2" t="s">
        <v>154</v>
      </c>
    </row>
    <row r="19" spans="1:3" x14ac:dyDescent="0.25">
      <c r="A19" s="2" t="s">
        <v>155</v>
      </c>
      <c r="B19" s="1" t="s">
        <v>4</v>
      </c>
      <c r="C19" s="2" t="s">
        <v>156</v>
      </c>
    </row>
    <row r="20" spans="1:3" x14ac:dyDescent="0.25">
      <c r="A20" s="2" t="str">
        <f t="shared" ref="A20:A26" si="2">A19</f>
        <v>Base Dollar Sales</v>
      </c>
      <c r="B20" s="1" t="s">
        <v>140</v>
      </c>
      <c r="C20" s="2" t="s">
        <v>157</v>
      </c>
    </row>
    <row r="21" spans="1:3" x14ac:dyDescent="0.25">
      <c r="A21" s="2" t="str">
        <f t="shared" si="2"/>
        <v>Base Dollar Sales</v>
      </c>
      <c r="B21" s="1" t="s">
        <v>142</v>
      </c>
      <c r="C21" s="2" t="s">
        <v>158</v>
      </c>
    </row>
    <row r="22" spans="1:3" x14ac:dyDescent="0.25">
      <c r="A22" s="2" t="str">
        <f t="shared" si="2"/>
        <v>Base Dollar Sales</v>
      </c>
      <c r="B22" s="1" t="s">
        <v>144</v>
      </c>
      <c r="C22" s="2" t="s">
        <v>159</v>
      </c>
    </row>
    <row r="23" spans="1:3" x14ac:dyDescent="0.25">
      <c r="A23" s="2" t="str">
        <f t="shared" si="2"/>
        <v>Base Dollar Sales</v>
      </c>
      <c r="B23" s="1" t="s">
        <v>146</v>
      </c>
      <c r="C23" s="2" t="s">
        <v>160</v>
      </c>
    </row>
    <row r="24" spans="1:3" x14ac:dyDescent="0.25">
      <c r="A24" s="2" t="str">
        <f t="shared" si="2"/>
        <v>Base Dollar Sales</v>
      </c>
      <c r="B24" s="1" t="s">
        <v>148</v>
      </c>
      <c r="C24" s="7" t="s">
        <v>205</v>
      </c>
    </row>
    <row r="25" spans="1:3" x14ac:dyDescent="0.25">
      <c r="A25" s="2" t="str">
        <f t="shared" si="2"/>
        <v>Base Dollar Sales</v>
      </c>
      <c r="B25" s="1" t="s">
        <v>149</v>
      </c>
      <c r="C25" s="2" t="s">
        <v>161</v>
      </c>
    </row>
    <row r="26" spans="1:3" x14ac:dyDescent="0.25">
      <c r="A26" s="2" t="str">
        <f t="shared" si="2"/>
        <v>Base Dollar Sales</v>
      </c>
      <c r="B26" s="1" t="s">
        <v>70</v>
      </c>
      <c r="C26" s="7" t="s">
        <v>205</v>
      </c>
    </row>
    <row r="27" spans="1:3" x14ac:dyDescent="0.25">
      <c r="A27" s="2" t="s">
        <v>162</v>
      </c>
      <c r="B27" s="1" t="s">
        <v>4</v>
      </c>
      <c r="C27" s="2" t="s">
        <v>163</v>
      </c>
    </row>
    <row r="28" spans="1:3" x14ac:dyDescent="0.25">
      <c r="A28" s="2" t="str">
        <f t="shared" ref="A28:A34" si="3">A27</f>
        <v>Base Unit Sales</v>
      </c>
      <c r="B28" s="1" t="s">
        <v>140</v>
      </c>
      <c r="C28" s="2" t="s">
        <v>164</v>
      </c>
    </row>
    <row r="29" spans="1:3" x14ac:dyDescent="0.25">
      <c r="A29" s="2" t="str">
        <f t="shared" si="3"/>
        <v>Base Unit Sales</v>
      </c>
      <c r="B29" s="1" t="s">
        <v>142</v>
      </c>
      <c r="C29" s="2" t="s">
        <v>165</v>
      </c>
    </row>
    <row r="30" spans="1:3" x14ac:dyDescent="0.25">
      <c r="A30" s="2" t="str">
        <f t="shared" si="3"/>
        <v>Base Unit Sales</v>
      </c>
      <c r="B30" s="1" t="s">
        <v>144</v>
      </c>
      <c r="C30" s="2" t="s">
        <v>166</v>
      </c>
    </row>
    <row r="31" spans="1:3" x14ac:dyDescent="0.25">
      <c r="A31" s="2" t="str">
        <f t="shared" si="3"/>
        <v>Base Unit Sales</v>
      </c>
      <c r="B31" s="1" t="s">
        <v>146</v>
      </c>
      <c r="C31" s="2" t="s">
        <v>167</v>
      </c>
    </row>
    <row r="32" spans="1:3" x14ac:dyDescent="0.25">
      <c r="A32" s="2" t="str">
        <f t="shared" si="3"/>
        <v>Base Unit Sales</v>
      </c>
      <c r="B32" s="1" t="s">
        <v>148</v>
      </c>
      <c r="C32" s="7" t="s">
        <v>205</v>
      </c>
    </row>
    <row r="33" spans="1:3" x14ac:dyDescent="0.25">
      <c r="A33" s="2" t="str">
        <f t="shared" si="3"/>
        <v>Base Unit Sales</v>
      </c>
      <c r="B33" s="1" t="s">
        <v>149</v>
      </c>
      <c r="C33" s="2" t="s">
        <v>168</v>
      </c>
    </row>
    <row r="34" spans="1:3" x14ac:dyDescent="0.25">
      <c r="A34" s="2" t="str">
        <f t="shared" si="3"/>
        <v>Base Unit Sales</v>
      </c>
      <c r="B34" s="1" t="s">
        <v>70</v>
      </c>
      <c r="C34" s="7" t="s">
        <v>205</v>
      </c>
    </row>
    <row r="35" spans="1:3" x14ac:dyDescent="0.25">
      <c r="A35" s="2" t="s">
        <v>169</v>
      </c>
      <c r="B35" s="1" t="s">
        <v>4</v>
      </c>
      <c r="C35" s="2" t="s">
        <v>170</v>
      </c>
    </row>
    <row r="36" spans="1:3" x14ac:dyDescent="0.25">
      <c r="A36" s="2" t="str">
        <f t="shared" ref="A36:A42" si="4">A35</f>
        <v>Base Volume Sales</v>
      </c>
      <c r="B36" s="1" t="s">
        <v>140</v>
      </c>
      <c r="C36" s="7" t="s">
        <v>205</v>
      </c>
    </row>
    <row r="37" spans="1:3" x14ac:dyDescent="0.25">
      <c r="A37" s="2" t="str">
        <f t="shared" si="4"/>
        <v>Base Volume Sales</v>
      </c>
      <c r="B37" s="1" t="s">
        <v>142</v>
      </c>
      <c r="C37" s="2" t="s">
        <v>171</v>
      </c>
    </row>
    <row r="38" spans="1:3" x14ac:dyDescent="0.25">
      <c r="A38" s="2" t="str">
        <f t="shared" si="4"/>
        <v>Base Volume Sales</v>
      </c>
      <c r="B38" s="1" t="s">
        <v>144</v>
      </c>
      <c r="C38" s="2" t="s">
        <v>172</v>
      </c>
    </row>
    <row r="39" spans="1:3" x14ac:dyDescent="0.25">
      <c r="A39" s="2" t="str">
        <f t="shared" si="4"/>
        <v>Base Volume Sales</v>
      </c>
      <c r="B39" s="1" t="s">
        <v>146</v>
      </c>
      <c r="C39" s="2" t="s">
        <v>173</v>
      </c>
    </row>
    <row r="40" spans="1:3" x14ac:dyDescent="0.25">
      <c r="A40" s="2" t="str">
        <f t="shared" si="4"/>
        <v>Base Volume Sales</v>
      </c>
      <c r="B40" s="1" t="s">
        <v>148</v>
      </c>
      <c r="C40" s="7" t="s">
        <v>205</v>
      </c>
    </row>
    <row r="41" spans="1:3" x14ac:dyDescent="0.25">
      <c r="A41" s="2" t="str">
        <f t="shared" si="4"/>
        <v>Base Volume Sales</v>
      </c>
      <c r="B41" s="1" t="s">
        <v>149</v>
      </c>
      <c r="C41" s="2" t="s">
        <v>174</v>
      </c>
    </row>
    <row r="42" spans="1:3" x14ac:dyDescent="0.25">
      <c r="A42" s="2" t="str">
        <f t="shared" si="4"/>
        <v>Base Volume Sales</v>
      </c>
      <c r="B42" s="1" t="s">
        <v>70</v>
      </c>
      <c r="C42" s="7" t="s">
        <v>205</v>
      </c>
    </row>
    <row r="43" spans="1:3" x14ac:dyDescent="0.25">
      <c r="A43" s="2" t="s">
        <v>175</v>
      </c>
      <c r="B43" s="1" t="s">
        <v>4</v>
      </c>
      <c r="C43" s="2" t="s">
        <v>176</v>
      </c>
    </row>
    <row r="44" spans="1:3" x14ac:dyDescent="0.25">
      <c r="A44" s="2" t="str">
        <f t="shared" ref="A44:A50" si="5">A43</f>
        <v>Dollar Sales</v>
      </c>
      <c r="B44" s="1" t="s">
        <v>140</v>
      </c>
      <c r="C44" s="2" t="s">
        <v>177</v>
      </c>
    </row>
    <row r="45" spans="1:3" x14ac:dyDescent="0.25">
      <c r="A45" s="2" t="str">
        <f t="shared" si="5"/>
        <v>Dollar Sales</v>
      </c>
      <c r="B45" s="1" t="s">
        <v>142</v>
      </c>
      <c r="C45" s="2" t="s">
        <v>178</v>
      </c>
    </row>
    <row r="46" spans="1:3" x14ac:dyDescent="0.25">
      <c r="A46" s="2" t="str">
        <f t="shared" si="5"/>
        <v>Dollar Sales</v>
      </c>
      <c r="B46" s="1" t="s">
        <v>144</v>
      </c>
      <c r="C46" s="2" t="s">
        <v>179</v>
      </c>
    </row>
    <row r="47" spans="1:3" x14ac:dyDescent="0.25">
      <c r="A47" s="2" t="str">
        <f t="shared" si="5"/>
        <v>Dollar Sales</v>
      </c>
      <c r="B47" s="1" t="s">
        <v>146</v>
      </c>
      <c r="C47" s="2" t="s">
        <v>180</v>
      </c>
    </row>
    <row r="48" spans="1:3" x14ac:dyDescent="0.25">
      <c r="A48" s="2" t="str">
        <f t="shared" si="5"/>
        <v>Dollar Sales</v>
      </c>
      <c r="B48" s="1" t="s">
        <v>148</v>
      </c>
      <c r="C48" s="2" t="s">
        <v>181</v>
      </c>
    </row>
    <row r="49" spans="1:3" x14ac:dyDescent="0.25">
      <c r="A49" s="2" t="str">
        <f t="shared" si="5"/>
        <v>Dollar Sales</v>
      </c>
      <c r="B49" s="1" t="s">
        <v>149</v>
      </c>
      <c r="C49" s="2" t="s">
        <v>182</v>
      </c>
    </row>
    <row r="50" spans="1:3" x14ac:dyDescent="0.25">
      <c r="A50" s="2" t="str">
        <f t="shared" si="5"/>
        <v>Dollar Sales</v>
      </c>
      <c r="B50" s="1" t="s">
        <v>70</v>
      </c>
      <c r="C50" s="7" t="s">
        <v>205</v>
      </c>
    </row>
    <row r="51" spans="1:3" x14ac:dyDescent="0.25">
      <c r="A51" s="2" t="s">
        <v>183</v>
      </c>
      <c r="B51" s="1" t="s">
        <v>4</v>
      </c>
      <c r="C51" s="2" t="s">
        <v>184</v>
      </c>
    </row>
    <row r="52" spans="1:3" x14ac:dyDescent="0.25">
      <c r="A52" s="2" t="str">
        <f t="shared" ref="A52:A58" si="6">A51</f>
        <v>Unit Sales</v>
      </c>
      <c r="B52" s="1" t="s">
        <v>140</v>
      </c>
      <c r="C52" s="2" t="s">
        <v>185</v>
      </c>
    </row>
    <row r="53" spans="1:3" x14ac:dyDescent="0.25">
      <c r="A53" s="2" t="str">
        <f t="shared" si="6"/>
        <v>Unit Sales</v>
      </c>
      <c r="B53" s="1" t="s">
        <v>142</v>
      </c>
      <c r="C53" s="2" t="s">
        <v>186</v>
      </c>
    </row>
    <row r="54" spans="1:3" x14ac:dyDescent="0.25">
      <c r="A54" s="2" t="str">
        <f t="shared" si="6"/>
        <v>Unit Sales</v>
      </c>
      <c r="B54" s="1" t="s">
        <v>144</v>
      </c>
      <c r="C54" s="2" t="s">
        <v>187</v>
      </c>
    </row>
    <row r="55" spans="1:3" x14ac:dyDescent="0.25">
      <c r="A55" s="2" t="str">
        <f t="shared" si="6"/>
        <v>Unit Sales</v>
      </c>
      <c r="B55" s="1" t="s">
        <v>146</v>
      </c>
      <c r="C55" s="2" t="s">
        <v>188</v>
      </c>
    </row>
    <row r="56" spans="1:3" x14ac:dyDescent="0.25">
      <c r="A56" s="2" t="str">
        <f t="shared" si="6"/>
        <v>Unit Sales</v>
      </c>
      <c r="B56" s="1" t="s">
        <v>148</v>
      </c>
      <c r="C56" s="2" t="s">
        <v>189</v>
      </c>
    </row>
    <row r="57" spans="1:3" x14ac:dyDescent="0.25">
      <c r="A57" s="2" t="str">
        <f t="shared" si="6"/>
        <v>Unit Sales</v>
      </c>
      <c r="B57" s="1" t="s">
        <v>149</v>
      </c>
      <c r="C57" s="2" t="s">
        <v>190</v>
      </c>
    </row>
    <row r="58" spans="1:3" x14ac:dyDescent="0.25">
      <c r="A58" s="2" t="str">
        <f t="shared" si="6"/>
        <v>Unit Sales</v>
      </c>
      <c r="B58" s="1" t="s">
        <v>70</v>
      </c>
      <c r="C58" s="7" t="s">
        <v>205</v>
      </c>
    </row>
    <row r="59" spans="1:3" x14ac:dyDescent="0.25">
      <c r="A59" s="2" t="s">
        <v>191</v>
      </c>
      <c r="B59" s="1" t="s">
        <v>4</v>
      </c>
      <c r="C59" s="2" t="s">
        <v>192</v>
      </c>
    </row>
    <row r="60" spans="1:3" x14ac:dyDescent="0.25">
      <c r="A60" s="2" t="str">
        <f t="shared" ref="A60:A66" si="7">A59</f>
        <v>Volume Sales</v>
      </c>
      <c r="B60" s="1" t="s">
        <v>140</v>
      </c>
      <c r="C60" s="2" t="s">
        <v>193</v>
      </c>
    </row>
    <row r="61" spans="1:3" x14ac:dyDescent="0.25">
      <c r="A61" s="2" t="str">
        <f t="shared" si="7"/>
        <v>Volume Sales</v>
      </c>
      <c r="B61" s="1" t="s">
        <v>142</v>
      </c>
      <c r="C61" s="2" t="s">
        <v>194</v>
      </c>
    </row>
    <row r="62" spans="1:3" x14ac:dyDescent="0.25">
      <c r="A62" s="2" t="str">
        <f t="shared" si="7"/>
        <v>Volume Sales</v>
      </c>
      <c r="B62" s="1" t="s">
        <v>144</v>
      </c>
      <c r="C62" s="2" t="s">
        <v>195</v>
      </c>
    </row>
    <row r="63" spans="1:3" x14ac:dyDescent="0.25">
      <c r="A63" s="2" t="str">
        <f t="shared" si="7"/>
        <v>Volume Sales</v>
      </c>
      <c r="B63" s="1" t="s">
        <v>146</v>
      </c>
      <c r="C63" s="2" t="s">
        <v>196</v>
      </c>
    </row>
    <row r="64" spans="1:3" x14ac:dyDescent="0.25">
      <c r="A64" s="2" t="str">
        <f t="shared" si="7"/>
        <v>Volume Sales</v>
      </c>
      <c r="B64" s="1" t="s">
        <v>148</v>
      </c>
      <c r="C64" s="2" t="s">
        <v>197</v>
      </c>
    </row>
    <row r="65" spans="1:4" x14ac:dyDescent="0.25">
      <c r="A65" s="2" t="str">
        <f t="shared" si="7"/>
        <v>Volume Sales</v>
      </c>
      <c r="B65" s="1" t="s">
        <v>149</v>
      </c>
      <c r="C65" s="2" t="s">
        <v>198</v>
      </c>
    </row>
    <row r="66" spans="1:4" x14ac:dyDescent="0.25">
      <c r="A66" s="2" t="str">
        <f t="shared" si="7"/>
        <v>Volume Sales</v>
      </c>
      <c r="B66" s="1" t="s">
        <v>70</v>
      </c>
      <c r="C66" s="7" t="s">
        <v>205</v>
      </c>
    </row>
    <row r="67" spans="1:4" x14ac:dyDescent="0.25">
      <c r="A67" s="2" t="s">
        <v>199</v>
      </c>
      <c r="B67" s="1" t="s">
        <v>4</v>
      </c>
      <c r="C67" s="7" t="s">
        <v>205</v>
      </c>
    </row>
    <row r="68" spans="1:4" x14ac:dyDescent="0.25">
      <c r="A68" s="2" t="str">
        <f t="shared" ref="A68:A74" si="8">A67</f>
        <v>Wtd Avg % Prc Redn</v>
      </c>
      <c r="B68" s="1" t="s">
        <v>140</v>
      </c>
      <c r="C68" s="7" t="s">
        <v>205</v>
      </c>
    </row>
    <row r="69" spans="1:4" x14ac:dyDescent="0.25">
      <c r="A69" s="2" t="str">
        <f t="shared" si="8"/>
        <v>Wtd Avg % Prc Redn</v>
      </c>
      <c r="B69" s="1" t="s">
        <v>142</v>
      </c>
      <c r="C69" s="2" t="s">
        <v>200</v>
      </c>
    </row>
    <row r="70" spans="1:4" x14ac:dyDescent="0.25">
      <c r="A70" s="2" t="str">
        <f t="shared" si="8"/>
        <v>Wtd Avg % Prc Redn</v>
      </c>
      <c r="B70" s="1" t="s">
        <v>144</v>
      </c>
      <c r="C70" s="2" t="s">
        <v>201</v>
      </c>
    </row>
    <row r="71" spans="1:4" x14ac:dyDescent="0.25">
      <c r="A71" s="2" t="str">
        <f t="shared" si="8"/>
        <v>Wtd Avg % Prc Redn</v>
      </c>
      <c r="B71" s="1" t="s">
        <v>146</v>
      </c>
      <c r="C71" s="2" t="s">
        <v>202</v>
      </c>
    </row>
    <row r="72" spans="1:4" x14ac:dyDescent="0.25">
      <c r="A72" s="2" t="str">
        <f t="shared" si="8"/>
        <v>Wtd Avg % Prc Redn</v>
      </c>
      <c r="B72" s="1" t="s">
        <v>148</v>
      </c>
      <c r="C72" s="7" t="s">
        <v>205</v>
      </c>
    </row>
    <row r="73" spans="1:4" x14ac:dyDescent="0.25">
      <c r="A73" s="2" t="str">
        <f t="shared" si="8"/>
        <v>Wtd Avg % Prc Redn</v>
      </c>
      <c r="B73" s="1" t="s">
        <v>149</v>
      </c>
      <c r="C73" s="2" t="s">
        <v>203</v>
      </c>
    </row>
    <row r="74" spans="1:4" x14ac:dyDescent="0.25">
      <c r="A74" s="2" t="str">
        <f t="shared" si="8"/>
        <v>Wtd Avg % Prc Redn</v>
      </c>
      <c r="B74" s="1" t="s">
        <v>70</v>
      </c>
      <c r="C74" s="7" t="s">
        <v>205</v>
      </c>
    </row>
    <row r="75" spans="1:4" x14ac:dyDescent="0.25">
      <c r="A75" s="10" t="s">
        <v>284</v>
      </c>
      <c r="B75" s="10"/>
      <c r="C75" s="10" t="s">
        <v>285</v>
      </c>
      <c r="D75" t="s">
        <v>324</v>
      </c>
    </row>
    <row r="76" spans="1:4" x14ac:dyDescent="0.25">
      <c r="A76" s="10" t="s">
        <v>284</v>
      </c>
      <c r="B76" s="10"/>
      <c r="C76" s="10" t="s">
        <v>286</v>
      </c>
      <c r="D76" t="s">
        <v>325</v>
      </c>
    </row>
    <row r="77" spans="1:4" x14ac:dyDescent="0.25">
      <c r="A77" s="10" t="s">
        <v>284</v>
      </c>
      <c r="B77" s="10"/>
      <c r="C77" s="10" t="s">
        <v>287</v>
      </c>
      <c r="D77" t="s">
        <v>326</v>
      </c>
    </row>
    <row r="78" spans="1:4" x14ac:dyDescent="0.25">
      <c r="A78" s="10" t="s">
        <v>284</v>
      </c>
      <c r="B78" s="10"/>
      <c r="C78" s="10" t="s">
        <v>288</v>
      </c>
      <c r="D78" t="s">
        <v>327</v>
      </c>
    </row>
    <row r="79" spans="1:4" x14ac:dyDescent="0.25">
      <c r="A79" s="10" t="s">
        <v>284</v>
      </c>
      <c r="B79" s="10"/>
      <c r="C79" s="10" t="s">
        <v>289</v>
      </c>
      <c r="D79" t="s">
        <v>328</v>
      </c>
    </row>
    <row r="80" spans="1:4" x14ac:dyDescent="0.25">
      <c r="A80" s="10" t="s">
        <v>284</v>
      </c>
      <c r="B80" s="10"/>
      <c r="C80" s="10" t="s">
        <v>290</v>
      </c>
      <c r="D80" t="s">
        <v>329</v>
      </c>
    </row>
    <row r="81" spans="1:4" x14ac:dyDescent="0.25">
      <c r="A81" s="10" t="s">
        <v>284</v>
      </c>
      <c r="B81" s="10"/>
      <c r="C81" s="10" t="s">
        <v>291</v>
      </c>
      <c r="D81" t="s">
        <v>330</v>
      </c>
    </row>
    <row r="82" spans="1:4" x14ac:dyDescent="0.25">
      <c r="A82" s="10" t="s">
        <v>284</v>
      </c>
      <c r="B82" s="10"/>
      <c r="C82" s="10" t="s">
        <v>292</v>
      </c>
      <c r="D82" t="s">
        <v>331</v>
      </c>
    </row>
    <row r="83" spans="1:4" x14ac:dyDescent="0.25">
      <c r="A83" s="10" t="s">
        <v>284</v>
      </c>
      <c r="B83" s="10"/>
      <c r="C83" s="10" t="s">
        <v>293</v>
      </c>
      <c r="D83" t="s">
        <v>332</v>
      </c>
    </row>
    <row r="84" spans="1:4" x14ac:dyDescent="0.25">
      <c r="A84" s="10" t="s">
        <v>284</v>
      </c>
      <c r="B84" s="10"/>
      <c r="C84" s="10" t="s">
        <v>294</v>
      </c>
      <c r="D84" t="s">
        <v>316</v>
      </c>
    </row>
    <row r="85" spans="1:4" x14ac:dyDescent="0.25">
      <c r="A85" s="10" t="s">
        <v>284</v>
      </c>
      <c r="B85" s="10"/>
      <c r="C85" s="10" t="s">
        <v>295</v>
      </c>
      <c r="D85" t="s">
        <v>333</v>
      </c>
    </row>
    <row r="86" spans="1:4" x14ac:dyDescent="0.25">
      <c r="A86" s="10" t="s">
        <v>284</v>
      </c>
      <c r="B86" s="10"/>
      <c r="C86" s="10" t="s">
        <v>296</v>
      </c>
      <c r="D86" t="s">
        <v>317</v>
      </c>
    </row>
    <row r="87" spans="1:4" x14ac:dyDescent="0.25">
      <c r="A87" s="10" t="s">
        <v>284</v>
      </c>
      <c r="B87" s="10"/>
      <c r="C87" s="10" t="s">
        <v>297</v>
      </c>
      <c r="D87" t="s">
        <v>334</v>
      </c>
    </row>
    <row r="88" spans="1:4" x14ac:dyDescent="0.25">
      <c r="A88" s="10" t="s">
        <v>284</v>
      </c>
      <c r="B88" s="10"/>
      <c r="C88" s="10" t="s">
        <v>298</v>
      </c>
      <c r="D88" t="s">
        <v>335</v>
      </c>
    </row>
    <row r="89" spans="1:4" x14ac:dyDescent="0.25">
      <c r="A89" s="10" t="s">
        <v>284</v>
      </c>
      <c r="B89" s="10"/>
      <c r="C89" s="10" t="s">
        <v>299</v>
      </c>
      <c r="D89" t="s">
        <v>336</v>
      </c>
    </row>
    <row r="90" spans="1:4" x14ac:dyDescent="0.25">
      <c r="A90" s="10" t="s">
        <v>284</v>
      </c>
      <c r="B90" s="10"/>
      <c r="C90" s="10" t="s">
        <v>300</v>
      </c>
      <c r="D90" t="s">
        <v>337</v>
      </c>
    </row>
    <row r="91" spans="1:4" x14ac:dyDescent="0.25">
      <c r="A91" s="10" t="s">
        <v>284</v>
      </c>
      <c r="B91" s="10"/>
      <c r="C91" s="10" t="s">
        <v>301</v>
      </c>
      <c r="D91" t="s">
        <v>338</v>
      </c>
    </row>
    <row r="92" spans="1:4" x14ac:dyDescent="0.25">
      <c r="A92" s="10" t="s">
        <v>284</v>
      </c>
      <c r="B92" s="10"/>
      <c r="C92" s="10" t="s">
        <v>302</v>
      </c>
      <c r="D92" t="s">
        <v>339</v>
      </c>
    </row>
    <row r="93" spans="1:4" x14ac:dyDescent="0.25">
      <c r="A93" s="10" t="s">
        <v>284</v>
      </c>
      <c r="B93" s="10"/>
      <c r="C93" s="10" t="s">
        <v>303</v>
      </c>
      <c r="D93" t="s">
        <v>340</v>
      </c>
    </row>
    <row r="94" spans="1:4" x14ac:dyDescent="0.25">
      <c r="A94" s="10" t="s">
        <v>284</v>
      </c>
      <c r="B94" s="10"/>
      <c r="C94" s="10" t="s">
        <v>304</v>
      </c>
      <c r="D94" t="s">
        <v>318</v>
      </c>
    </row>
    <row r="95" spans="1:4" x14ac:dyDescent="0.25">
      <c r="A95" s="10" t="s">
        <v>284</v>
      </c>
      <c r="B95" s="10"/>
      <c r="C95" s="10" t="s">
        <v>305</v>
      </c>
      <c r="D95" t="s">
        <v>341</v>
      </c>
    </row>
    <row r="96" spans="1:4" x14ac:dyDescent="0.25">
      <c r="A96" s="10" t="s">
        <v>284</v>
      </c>
      <c r="B96" s="10"/>
      <c r="C96" s="10" t="s">
        <v>306</v>
      </c>
      <c r="D96" t="s">
        <v>342</v>
      </c>
    </row>
    <row r="97" spans="1:4" x14ac:dyDescent="0.25">
      <c r="A97" s="10" t="s">
        <v>284</v>
      </c>
      <c r="B97" s="10"/>
      <c r="C97" s="10" t="s">
        <v>307</v>
      </c>
      <c r="D97" t="s">
        <v>343</v>
      </c>
    </row>
    <row r="98" spans="1:4" x14ac:dyDescent="0.25">
      <c r="A98" s="10" t="s">
        <v>284</v>
      </c>
      <c r="B98" s="10"/>
      <c r="C98" s="10" t="s">
        <v>308</v>
      </c>
      <c r="D98" t="s">
        <v>344</v>
      </c>
    </row>
    <row r="99" spans="1:4" x14ac:dyDescent="0.25">
      <c r="A99" s="10" t="s">
        <v>284</v>
      </c>
      <c r="B99" s="10"/>
      <c r="C99" s="10" t="s">
        <v>309</v>
      </c>
      <c r="D99" t="s">
        <v>345</v>
      </c>
    </row>
    <row r="100" spans="1:4" x14ac:dyDescent="0.25">
      <c r="A100" s="10" t="s">
        <v>284</v>
      </c>
      <c r="B100" s="10"/>
      <c r="C100" s="10" t="s">
        <v>310</v>
      </c>
      <c r="D100" t="s">
        <v>346</v>
      </c>
    </row>
    <row r="101" spans="1:4" x14ac:dyDescent="0.25">
      <c r="A101" s="10" t="s">
        <v>284</v>
      </c>
      <c r="B101" s="10"/>
      <c r="C101" s="10" t="s">
        <v>311</v>
      </c>
      <c r="D101" t="s">
        <v>347</v>
      </c>
    </row>
    <row r="102" spans="1:4" x14ac:dyDescent="0.25">
      <c r="A102" s="10" t="s">
        <v>284</v>
      </c>
      <c r="B102" s="10"/>
      <c r="C102" s="10" t="s">
        <v>312</v>
      </c>
      <c r="D102" t="s">
        <v>348</v>
      </c>
    </row>
    <row r="103" spans="1:4" x14ac:dyDescent="0.25">
      <c r="A103" s="10" t="s">
        <v>284</v>
      </c>
      <c r="B103" s="10"/>
      <c r="C103" s="10" t="s">
        <v>313</v>
      </c>
      <c r="D103" t="s">
        <v>349</v>
      </c>
    </row>
    <row r="104" spans="1:4" x14ac:dyDescent="0.25">
      <c r="A104" s="10" t="s">
        <v>284</v>
      </c>
      <c r="B104" s="10"/>
      <c r="C104" s="10" t="s">
        <v>314</v>
      </c>
      <c r="D104" t="s">
        <v>350</v>
      </c>
    </row>
    <row r="105" spans="1:4" x14ac:dyDescent="0.25">
      <c r="A105" s="10" t="s">
        <v>284</v>
      </c>
      <c r="B105" s="10"/>
      <c r="C105" s="10" t="s">
        <v>315</v>
      </c>
      <c r="D105" t="s">
        <v>319</v>
      </c>
    </row>
  </sheetData>
  <autoFilter ref="A1:C105" xr:uid="{00000000-0009-0000-0000-000001000000}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8"/>
  <sheetViews>
    <sheetView workbookViewId="0">
      <pane ySplit="3" topLeftCell="A4" activePane="bottomLeft" state="frozen"/>
      <selection pane="bottomLeft" activeCell="G14" sqref="G14"/>
    </sheetView>
  </sheetViews>
  <sheetFormatPr defaultRowHeight="15" x14ac:dyDescent="0.25"/>
  <cols>
    <col min="1" max="1" width="33.42578125" bestFit="1" customWidth="1"/>
    <col min="2" max="2" width="13.7109375" customWidth="1"/>
    <col min="5" max="5" width="60.140625" bestFit="1" customWidth="1"/>
    <col min="6" max="6" width="13.5703125" customWidth="1"/>
  </cols>
  <sheetData>
    <row r="1" spans="1:6" x14ac:dyDescent="0.25">
      <c r="A1" t="s">
        <v>206</v>
      </c>
      <c r="E1" t="s">
        <v>207</v>
      </c>
    </row>
    <row r="3" spans="1:6" x14ac:dyDescent="0.25">
      <c r="A3" s="3" t="s">
        <v>71</v>
      </c>
      <c r="B3" s="4" t="s">
        <v>1</v>
      </c>
      <c r="E3" s="3" t="s">
        <v>71</v>
      </c>
      <c r="F3" s="4" t="s">
        <v>1</v>
      </c>
    </row>
    <row r="4" spans="1:6" x14ac:dyDescent="0.25">
      <c r="A4" s="8" t="s">
        <v>72</v>
      </c>
      <c r="B4" s="9" t="s">
        <v>67</v>
      </c>
      <c r="E4" s="8" t="s">
        <v>245</v>
      </c>
      <c r="F4" s="9" t="s">
        <v>208</v>
      </c>
    </row>
    <row r="5" spans="1:6" x14ac:dyDescent="0.25">
      <c r="A5" s="2" t="s">
        <v>73</v>
      </c>
      <c r="B5" s="1" t="s">
        <v>5</v>
      </c>
      <c r="E5" s="2" t="s">
        <v>253</v>
      </c>
      <c r="F5" s="2" t="s">
        <v>209</v>
      </c>
    </row>
    <row r="6" spans="1:6" x14ac:dyDescent="0.25">
      <c r="A6" s="2" t="s">
        <v>74</v>
      </c>
      <c r="B6" s="1" t="s">
        <v>6</v>
      </c>
      <c r="E6" s="2" t="s">
        <v>254</v>
      </c>
      <c r="F6" s="2" t="s">
        <v>210</v>
      </c>
    </row>
    <row r="7" spans="1:6" x14ac:dyDescent="0.25">
      <c r="A7" s="2" t="s">
        <v>75</v>
      </c>
      <c r="B7" s="1" t="s">
        <v>7</v>
      </c>
      <c r="E7" s="2" t="s">
        <v>255</v>
      </c>
      <c r="F7" s="2" t="s">
        <v>211</v>
      </c>
    </row>
    <row r="8" spans="1:6" x14ac:dyDescent="0.25">
      <c r="A8" s="2" t="s">
        <v>76</v>
      </c>
      <c r="B8" s="1" t="s">
        <v>8</v>
      </c>
      <c r="E8" s="2" t="s">
        <v>256</v>
      </c>
      <c r="F8" s="2" t="s">
        <v>212</v>
      </c>
    </row>
    <row r="9" spans="1:6" x14ac:dyDescent="0.25">
      <c r="A9" s="2" t="s">
        <v>77</v>
      </c>
      <c r="B9" s="1" t="s">
        <v>9</v>
      </c>
      <c r="E9" s="2" t="s">
        <v>257</v>
      </c>
      <c r="F9" s="2" t="s">
        <v>213</v>
      </c>
    </row>
    <row r="10" spans="1:6" x14ac:dyDescent="0.25">
      <c r="A10" s="2" t="s">
        <v>78</v>
      </c>
      <c r="B10" s="1" t="s">
        <v>10</v>
      </c>
      <c r="E10" s="2" t="s">
        <v>258</v>
      </c>
      <c r="F10" s="2" t="s">
        <v>214</v>
      </c>
    </row>
    <row r="11" spans="1:6" x14ac:dyDescent="0.25">
      <c r="A11" s="2" t="s">
        <v>79</v>
      </c>
      <c r="B11" s="1" t="s">
        <v>11</v>
      </c>
      <c r="E11" s="2" t="s">
        <v>259</v>
      </c>
      <c r="F11" s="2" t="s">
        <v>215</v>
      </c>
    </row>
    <row r="12" spans="1:6" x14ac:dyDescent="0.25">
      <c r="A12" s="2" t="s">
        <v>80</v>
      </c>
      <c r="B12" s="1" t="s">
        <v>12</v>
      </c>
      <c r="E12" s="2" t="s">
        <v>260</v>
      </c>
      <c r="F12" s="2" t="s">
        <v>216</v>
      </c>
    </row>
    <row r="13" spans="1:6" x14ac:dyDescent="0.25">
      <c r="A13" s="2" t="s">
        <v>81</v>
      </c>
      <c r="B13" s="1" t="s">
        <v>13</v>
      </c>
      <c r="E13" s="2" t="s">
        <v>261</v>
      </c>
      <c r="F13" s="2" t="s">
        <v>217</v>
      </c>
    </row>
    <row r="14" spans="1:6" x14ac:dyDescent="0.25">
      <c r="A14" s="2" t="s">
        <v>82</v>
      </c>
      <c r="B14" s="1" t="s">
        <v>14</v>
      </c>
      <c r="E14" s="2" t="s">
        <v>262</v>
      </c>
      <c r="F14" s="2" t="s">
        <v>218</v>
      </c>
    </row>
    <row r="15" spans="1:6" x14ac:dyDescent="0.25">
      <c r="A15" s="2" t="s">
        <v>83</v>
      </c>
      <c r="B15" s="1" t="s">
        <v>15</v>
      </c>
      <c r="E15" s="2" t="s">
        <v>263</v>
      </c>
      <c r="F15" s="2" t="s">
        <v>219</v>
      </c>
    </row>
    <row r="16" spans="1:6" x14ac:dyDescent="0.25">
      <c r="A16" s="2" t="s">
        <v>84</v>
      </c>
      <c r="B16" s="1" t="s">
        <v>16</v>
      </c>
      <c r="E16" s="2" t="s">
        <v>264</v>
      </c>
      <c r="F16" s="2" t="s">
        <v>220</v>
      </c>
    </row>
    <row r="17" spans="1:6" x14ac:dyDescent="0.25">
      <c r="A17" s="2" t="s">
        <v>85</v>
      </c>
      <c r="B17" s="1" t="s">
        <v>17</v>
      </c>
      <c r="E17" s="2" t="s">
        <v>265</v>
      </c>
      <c r="F17" s="2" t="s">
        <v>221</v>
      </c>
    </row>
    <row r="18" spans="1:6" x14ac:dyDescent="0.25">
      <c r="A18" s="2" t="s">
        <v>86</v>
      </c>
      <c r="B18" s="1" t="s">
        <v>18</v>
      </c>
      <c r="E18" s="2" t="s">
        <v>266</v>
      </c>
      <c r="F18" s="2" t="s">
        <v>222</v>
      </c>
    </row>
    <row r="19" spans="1:6" x14ac:dyDescent="0.25">
      <c r="A19" s="2" t="s">
        <v>87</v>
      </c>
      <c r="B19" s="1" t="s">
        <v>19</v>
      </c>
      <c r="E19" s="2" t="s">
        <v>246</v>
      </c>
      <c r="F19" s="2" t="s">
        <v>223</v>
      </c>
    </row>
    <row r="20" spans="1:6" x14ac:dyDescent="0.25">
      <c r="A20" s="2" t="s">
        <v>88</v>
      </c>
      <c r="B20" s="1" t="s">
        <v>20</v>
      </c>
      <c r="E20" s="2" t="s">
        <v>247</v>
      </c>
      <c r="F20" s="2" t="s">
        <v>224</v>
      </c>
    </row>
    <row r="21" spans="1:6" x14ac:dyDescent="0.25">
      <c r="A21" s="2" t="s">
        <v>89</v>
      </c>
      <c r="B21" s="1" t="s">
        <v>21</v>
      </c>
      <c r="E21" s="2" t="s">
        <v>267</v>
      </c>
      <c r="F21" s="2" t="s">
        <v>225</v>
      </c>
    </row>
    <row r="22" spans="1:6" x14ac:dyDescent="0.25">
      <c r="A22" s="2" t="s">
        <v>90</v>
      </c>
      <c r="B22" s="1" t="s">
        <v>22</v>
      </c>
      <c r="E22" s="2" t="s">
        <v>268</v>
      </c>
      <c r="F22" s="2" t="s">
        <v>226</v>
      </c>
    </row>
    <row r="23" spans="1:6" x14ac:dyDescent="0.25">
      <c r="A23" s="2" t="s">
        <v>91</v>
      </c>
      <c r="B23" s="1" t="s">
        <v>23</v>
      </c>
      <c r="E23" s="2" t="s">
        <v>269</v>
      </c>
      <c r="F23" s="2" t="s">
        <v>227</v>
      </c>
    </row>
    <row r="24" spans="1:6" x14ac:dyDescent="0.25">
      <c r="A24" s="2" t="s">
        <v>92</v>
      </c>
      <c r="B24" s="1" t="s">
        <v>24</v>
      </c>
      <c r="E24" s="2" t="s">
        <v>270</v>
      </c>
      <c r="F24" s="2" t="s">
        <v>228</v>
      </c>
    </row>
    <row r="25" spans="1:6" x14ac:dyDescent="0.25">
      <c r="A25" s="2" t="s">
        <v>93</v>
      </c>
      <c r="B25" s="1" t="s">
        <v>25</v>
      </c>
      <c r="E25" s="2" t="s">
        <v>271</v>
      </c>
      <c r="F25" s="2" t="s">
        <v>229</v>
      </c>
    </row>
    <row r="26" spans="1:6" x14ac:dyDescent="0.25">
      <c r="A26" s="2" t="s">
        <v>94</v>
      </c>
      <c r="B26" s="1" t="s">
        <v>26</v>
      </c>
      <c r="E26" s="2" t="s">
        <v>272</v>
      </c>
      <c r="F26" s="2" t="s">
        <v>230</v>
      </c>
    </row>
    <row r="27" spans="1:6" x14ac:dyDescent="0.25">
      <c r="A27" s="2" t="s">
        <v>95</v>
      </c>
      <c r="B27" s="1" t="s">
        <v>27</v>
      </c>
      <c r="E27" s="2" t="s">
        <v>273</v>
      </c>
      <c r="F27" s="2" t="s">
        <v>231</v>
      </c>
    </row>
    <row r="28" spans="1:6" x14ac:dyDescent="0.25">
      <c r="A28" s="2" t="s">
        <v>96</v>
      </c>
      <c r="B28" s="1" t="s">
        <v>28</v>
      </c>
      <c r="E28" s="2" t="s">
        <v>248</v>
      </c>
      <c r="F28" s="2" t="s">
        <v>232</v>
      </c>
    </row>
    <row r="29" spans="1:6" x14ac:dyDescent="0.25">
      <c r="A29" s="2" t="s">
        <v>97</v>
      </c>
      <c r="B29" s="1" t="s">
        <v>29</v>
      </c>
      <c r="E29" s="2" t="s">
        <v>274</v>
      </c>
      <c r="F29" s="2" t="s">
        <v>233</v>
      </c>
    </row>
    <row r="30" spans="1:6" x14ac:dyDescent="0.25">
      <c r="A30" s="2" t="s">
        <v>98</v>
      </c>
      <c r="B30" s="1" t="s">
        <v>30</v>
      </c>
      <c r="E30" s="2" t="s">
        <v>275</v>
      </c>
      <c r="F30" s="2" t="s">
        <v>234</v>
      </c>
    </row>
    <row r="31" spans="1:6" x14ac:dyDescent="0.25">
      <c r="A31" s="2" t="s">
        <v>99</v>
      </c>
      <c r="B31" s="1" t="s">
        <v>31</v>
      </c>
      <c r="E31" s="2" t="s">
        <v>276</v>
      </c>
      <c r="F31" s="2" t="s">
        <v>235</v>
      </c>
    </row>
    <row r="32" spans="1:6" x14ac:dyDescent="0.25">
      <c r="A32" s="2" t="s">
        <v>100</v>
      </c>
      <c r="B32" s="1" t="s">
        <v>32</v>
      </c>
      <c r="E32" s="2" t="s">
        <v>277</v>
      </c>
      <c r="F32" s="2" t="s">
        <v>236</v>
      </c>
    </row>
    <row r="33" spans="1:6" x14ac:dyDescent="0.25">
      <c r="A33" s="2" t="s">
        <v>101</v>
      </c>
      <c r="B33" s="1" t="s">
        <v>33</v>
      </c>
      <c r="E33" s="2" t="s">
        <v>278</v>
      </c>
      <c r="F33" s="2" t="s">
        <v>237</v>
      </c>
    </row>
    <row r="34" spans="1:6" x14ac:dyDescent="0.25">
      <c r="A34" s="2" t="s">
        <v>102</v>
      </c>
      <c r="B34" s="1" t="s">
        <v>34</v>
      </c>
      <c r="E34" s="2" t="s">
        <v>279</v>
      </c>
      <c r="F34" s="2" t="s">
        <v>238</v>
      </c>
    </row>
    <row r="35" spans="1:6" x14ac:dyDescent="0.25">
      <c r="A35" s="2" t="s">
        <v>103</v>
      </c>
      <c r="B35" s="1" t="s">
        <v>35</v>
      </c>
      <c r="E35" s="2" t="s">
        <v>249</v>
      </c>
      <c r="F35" s="2" t="s">
        <v>239</v>
      </c>
    </row>
    <row r="36" spans="1:6" x14ac:dyDescent="0.25">
      <c r="A36" s="2" t="s">
        <v>104</v>
      </c>
      <c r="B36" s="1" t="s">
        <v>36</v>
      </c>
      <c r="E36" s="2" t="s">
        <v>280</v>
      </c>
      <c r="F36" s="2" t="s">
        <v>240</v>
      </c>
    </row>
    <row r="37" spans="1:6" x14ac:dyDescent="0.25">
      <c r="A37" s="2" t="s">
        <v>105</v>
      </c>
      <c r="B37" s="1" t="s">
        <v>37</v>
      </c>
      <c r="E37" s="2" t="s">
        <v>250</v>
      </c>
      <c r="F37" s="2" t="s">
        <v>241</v>
      </c>
    </row>
    <row r="38" spans="1:6" x14ac:dyDescent="0.25">
      <c r="A38" s="2" t="s">
        <v>106</v>
      </c>
      <c r="B38" s="1" t="s">
        <v>38</v>
      </c>
      <c r="E38" s="2" t="s">
        <v>281</v>
      </c>
      <c r="F38" s="2" t="s">
        <v>242</v>
      </c>
    </row>
    <row r="39" spans="1:6" x14ac:dyDescent="0.25">
      <c r="A39" s="2" t="s">
        <v>107</v>
      </c>
      <c r="B39" s="1" t="s">
        <v>39</v>
      </c>
      <c r="E39" s="2" t="s">
        <v>251</v>
      </c>
      <c r="F39" s="2" t="s">
        <v>243</v>
      </c>
    </row>
    <row r="40" spans="1:6" x14ac:dyDescent="0.25">
      <c r="A40" s="2" t="s">
        <v>108</v>
      </c>
      <c r="B40" s="1" t="s">
        <v>40</v>
      </c>
      <c r="E40" s="2" t="s">
        <v>252</v>
      </c>
      <c r="F40" s="2" t="s">
        <v>244</v>
      </c>
    </row>
    <row r="41" spans="1:6" x14ac:dyDescent="0.25">
      <c r="A41" s="2" t="s">
        <v>109</v>
      </c>
      <c r="B41" s="1" t="s">
        <v>41</v>
      </c>
    </row>
    <row r="42" spans="1:6" x14ac:dyDescent="0.25">
      <c r="A42" s="2" t="s">
        <v>110</v>
      </c>
      <c r="B42" s="1" t="s">
        <v>42</v>
      </c>
    </row>
    <row r="43" spans="1:6" x14ac:dyDescent="0.25">
      <c r="A43" s="2" t="s">
        <v>111</v>
      </c>
      <c r="B43" s="1" t="s">
        <v>43</v>
      </c>
    </row>
    <row r="44" spans="1:6" x14ac:dyDescent="0.25">
      <c r="A44" s="2" t="s">
        <v>112</v>
      </c>
      <c r="B44" s="1" t="s">
        <v>44</v>
      </c>
    </row>
    <row r="45" spans="1:6" x14ac:dyDescent="0.25">
      <c r="A45" s="2" t="s">
        <v>113</v>
      </c>
      <c r="B45" s="1" t="s">
        <v>45</v>
      </c>
    </row>
    <row r="46" spans="1:6" x14ac:dyDescent="0.25">
      <c r="A46" s="2" t="s">
        <v>114</v>
      </c>
      <c r="B46" s="1" t="s">
        <v>46</v>
      </c>
    </row>
    <row r="47" spans="1:6" x14ac:dyDescent="0.25">
      <c r="A47" s="2" t="s">
        <v>115</v>
      </c>
      <c r="B47" s="1" t="s">
        <v>47</v>
      </c>
    </row>
    <row r="48" spans="1:6" x14ac:dyDescent="0.25">
      <c r="A48" s="2" t="s">
        <v>116</v>
      </c>
      <c r="B48" s="1" t="s">
        <v>48</v>
      </c>
    </row>
    <row r="49" spans="1:2" x14ac:dyDescent="0.25">
      <c r="A49" s="2" t="s">
        <v>117</v>
      </c>
      <c r="B49" s="1" t="s">
        <v>49</v>
      </c>
    </row>
    <row r="50" spans="1:2" x14ac:dyDescent="0.25">
      <c r="A50" s="2" t="s">
        <v>118</v>
      </c>
      <c r="B50" s="1" t="s">
        <v>50</v>
      </c>
    </row>
    <row r="51" spans="1:2" x14ac:dyDescent="0.25">
      <c r="A51" s="2" t="s">
        <v>119</v>
      </c>
      <c r="B51" s="1" t="s">
        <v>51</v>
      </c>
    </row>
    <row r="52" spans="1:2" x14ac:dyDescent="0.25">
      <c r="A52" s="2" t="s">
        <v>120</v>
      </c>
      <c r="B52" s="1" t="s">
        <v>52</v>
      </c>
    </row>
    <row r="53" spans="1:2" x14ac:dyDescent="0.25">
      <c r="A53" s="2" t="s">
        <v>121</v>
      </c>
      <c r="B53" s="1" t="s">
        <v>53</v>
      </c>
    </row>
    <row r="54" spans="1:2" x14ac:dyDescent="0.25">
      <c r="A54" s="2" t="s">
        <v>122</v>
      </c>
      <c r="B54" s="1" t="s">
        <v>54</v>
      </c>
    </row>
    <row r="55" spans="1:2" x14ac:dyDescent="0.25">
      <c r="A55" s="2" t="s">
        <v>123</v>
      </c>
      <c r="B55" s="1" t="s">
        <v>55</v>
      </c>
    </row>
    <row r="56" spans="1:2" x14ac:dyDescent="0.25">
      <c r="A56" s="2" t="s">
        <v>124</v>
      </c>
      <c r="B56" s="1" t="s">
        <v>56</v>
      </c>
    </row>
    <row r="57" spans="1:2" x14ac:dyDescent="0.25">
      <c r="A57" s="2" t="s">
        <v>125</v>
      </c>
      <c r="B57" s="1" t="s">
        <v>57</v>
      </c>
    </row>
    <row r="58" spans="1:2" x14ac:dyDescent="0.25">
      <c r="A58" s="2" t="s">
        <v>126</v>
      </c>
      <c r="B58" s="1" t="s">
        <v>58</v>
      </c>
    </row>
    <row r="59" spans="1:2" x14ac:dyDescent="0.25">
      <c r="A59" s="2" t="s">
        <v>127</v>
      </c>
      <c r="B59" s="1" t="s">
        <v>59</v>
      </c>
    </row>
    <row r="60" spans="1:2" x14ac:dyDescent="0.25">
      <c r="A60" s="2" t="s">
        <v>128</v>
      </c>
      <c r="B60" s="1" t="s">
        <v>60</v>
      </c>
    </row>
    <row r="61" spans="1:2" x14ac:dyDescent="0.25">
      <c r="A61" s="2" t="s">
        <v>129</v>
      </c>
      <c r="B61" s="1" t="s">
        <v>61</v>
      </c>
    </row>
    <row r="62" spans="1:2" x14ac:dyDescent="0.25">
      <c r="A62" s="2" t="s">
        <v>130</v>
      </c>
      <c r="B62" s="1" t="s">
        <v>62</v>
      </c>
    </row>
    <row r="63" spans="1:2" x14ac:dyDescent="0.25">
      <c r="A63" s="2" t="s">
        <v>131</v>
      </c>
      <c r="B63" s="1" t="s">
        <v>63</v>
      </c>
    </row>
    <row r="64" spans="1:2" x14ac:dyDescent="0.25">
      <c r="A64" s="2" t="s">
        <v>132</v>
      </c>
      <c r="B64" s="1" t="s">
        <v>64</v>
      </c>
    </row>
    <row r="65" spans="1:2" x14ac:dyDescent="0.25">
      <c r="A65" s="2" t="s">
        <v>133</v>
      </c>
      <c r="B65" s="1" t="s">
        <v>65</v>
      </c>
    </row>
    <row r="66" spans="1:2" x14ac:dyDescent="0.25">
      <c r="A66" s="2" t="s">
        <v>134</v>
      </c>
      <c r="B66" s="1" t="s">
        <v>66</v>
      </c>
    </row>
    <row r="67" spans="1:2" x14ac:dyDescent="0.25">
      <c r="A67" s="2" t="s">
        <v>135</v>
      </c>
      <c r="B67" s="1" t="s">
        <v>68</v>
      </c>
    </row>
    <row r="68" spans="1:2" x14ac:dyDescent="0.25">
      <c r="A68" s="2" t="s">
        <v>136</v>
      </c>
      <c r="B68" s="1" t="s">
        <v>69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Grocery Prods</vt:lpstr>
      <vt:lpstr>WM Prods</vt:lpstr>
      <vt:lpstr>Fact</vt:lpstr>
      <vt:lpstr>Mkt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Usuario10</cp:lastModifiedBy>
  <dcterms:created xsi:type="dcterms:W3CDTF">2020-12-24T14:30:41Z</dcterms:created>
  <dcterms:modified xsi:type="dcterms:W3CDTF">2021-02-09T21:34:47Z</dcterms:modified>
</cp:coreProperties>
</file>